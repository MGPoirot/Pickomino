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positories\pickomino-rl\"/>
    </mc:Choice>
  </mc:AlternateContent>
  <bookViews>
    <workbookView xWindow="0" yWindow="0" windowWidth="15840" windowHeight="10905" activeTab="2"/>
  </bookViews>
  <sheets>
    <sheet name="win-rate" sheetId="6" r:id="rId1"/>
    <sheet name="interesting-roll" sheetId="3" r:id="rId2"/>
    <sheet name="risk-vs-score" sheetId="7" r:id="rId3"/>
    <sheet name="Blad6" sheetId="8" r:id="rId4"/>
  </sheets>
  <externalReferences>
    <externalReference r:id="rId5"/>
  </externalReferences>
  <definedNames>
    <definedName name="tmp" localSheetId="2">'risk-vs-score'!$A$2:$D$104</definedName>
  </definedNames>
  <calcPr calcId="162913"/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2" i="6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4" i="7"/>
  <c r="G2" i="7"/>
  <c r="F2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4" i="7"/>
  <c r="G9" i="6" l="1"/>
  <c r="E11" i="6"/>
  <c r="G13" i="6"/>
  <c r="E14" i="6"/>
  <c r="E15" i="6"/>
  <c r="G16" i="6"/>
  <c r="G3" i="6"/>
  <c r="G4" i="6"/>
  <c r="G5" i="6"/>
  <c r="G6" i="6"/>
  <c r="G7" i="6"/>
  <c r="G8" i="6"/>
  <c r="G17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2" i="6"/>
  <c r="E3" i="6"/>
  <c r="E4" i="6"/>
  <c r="E5" i="6"/>
  <c r="E6" i="6"/>
  <c r="E7" i="6"/>
  <c r="E8" i="6"/>
  <c r="E9" i="6"/>
  <c r="E10" i="6"/>
  <c r="E16" i="6"/>
  <c r="E17" i="6"/>
  <c r="E2" i="6"/>
  <c r="G15" i="6" l="1"/>
  <c r="E13" i="6"/>
  <c r="E12" i="6"/>
  <c r="G11" i="6"/>
  <c r="G14" i="6"/>
  <c r="G12" i="6"/>
  <c r="G10" i="6"/>
</calcChain>
</file>

<file path=xl/connections.xml><?xml version="1.0" encoding="utf-8"?>
<connections xmlns="http://schemas.openxmlformats.org/spreadsheetml/2006/main">
  <connection id="1" name="tmp" type="6" refreshedVersion="6" background="1" saveData="1">
    <textPr codePage="437" sourceFile="C:\Users\P008883\OneDrive - Amsterdam UMC\Bureaublad\tmp.txt" delimited="0" decimal="," thousands="." tab="0" comma="1">
      <textFields count="6">
        <textField/>
        <textField position="10"/>
        <textField position="19"/>
        <textField position="31"/>
        <textField position="56"/>
        <textField position="70"/>
      </textFields>
    </textPr>
  </connection>
</connections>
</file>

<file path=xl/sharedStrings.xml><?xml version="1.0" encoding="utf-8"?>
<sst xmlns="http://schemas.openxmlformats.org/spreadsheetml/2006/main" count="35" uniqueCount="19">
  <si>
    <t>Tile</t>
  </si>
  <si>
    <t>3 ( x 2 )</t>
  </si>
  <si>
    <t>4 ( x 1 )</t>
  </si>
  <si>
    <t>5 ( x 4 )</t>
  </si>
  <si>
    <t>6 ( x 1 )</t>
  </si>
  <si>
    <t>risk_taken</t>
  </si>
  <si>
    <t>simulated</t>
  </si>
  <si>
    <t>SD</t>
  </si>
  <si>
    <t>True</t>
  </si>
  <si>
    <t>sim-SD</t>
  </si>
  <si>
    <t>calculated</t>
  </si>
  <si>
    <t>tile</t>
  </si>
  <si>
    <t>mean-tile</t>
  </si>
  <si>
    <t>within</t>
  </si>
  <si>
    <t>diff-SD</t>
  </si>
  <si>
    <t>sim-calc</t>
  </si>
  <si>
    <t>Mean tile score</t>
  </si>
  <si>
    <t>Success rate</t>
  </si>
  <si>
    <t>Mean win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</si>
</sst>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Guardian Sans"/>
      <family val="2"/>
    </font>
    <font>
      <b/>
      <sz val="11"/>
      <color theme="1"/>
      <name val="Guardian San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8" fillId="33" borderId="0" xfId="0" applyFont="1" applyFill="1"/>
    <xf numFmtId="164" fontId="18" fillId="33" borderId="0" xfId="1" applyNumberFormat="1" applyFont="1" applyFill="1" applyAlignment="1">
      <alignment horizontal="center"/>
    </xf>
    <xf numFmtId="9" fontId="18" fillId="33" borderId="0" xfId="1" applyNumberFormat="1" applyFont="1" applyFill="1" applyAlignment="1">
      <alignment horizontal="center"/>
    </xf>
    <xf numFmtId="0" fontId="18" fillId="33" borderId="0" xfId="0" applyFont="1" applyFill="1" applyAlignment="1">
      <alignment horizontal="right"/>
    </xf>
    <xf numFmtId="0" fontId="19" fillId="33" borderId="0" xfId="0" applyFont="1" applyFill="1" applyAlignment="1">
      <alignment horizontal="right"/>
    </xf>
    <xf numFmtId="0" fontId="0" fillId="33" borderId="0" xfId="0" applyFill="1"/>
    <xf numFmtId="3" fontId="0" fillId="33" borderId="0" xfId="0" applyNumberFormat="1" applyFill="1"/>
    <xf numFmtId="10" fontId="0" fillId="0" borderId="0" xfId="0" applyNumberFormat="1"/>
    <xf numFmtId="0" fontId="0" fillId="0" borderId="0" xfId="0"/>
    <xf numFmtId="9" fontId="0" fillId="0" borderId="0" xfId="1" applyFont="1"/>
    <xf numFmtId="9" fontId="0" fillId="0" borderId="0" xfId="0" applyNumberFormat="1"/>
    <xf numFmtId="0" fontId="0" fillId="0" borderId="0" xfId="0" applyBorder="1"/>
    <xf numFmtId="164" fontId="0" fillId="0" borderId="0" xfId="0" applyNumberFormat="1" applyBorder="1"/>
    <xf numFmtId="10" fontId="0" fillId="0" borderId="0" xfId="0" applyNumberFormat="1" applyBorder="1"/>
    <xf numFmtId="9" fontId="0" fillId="0" borderId="0" xfId="0" applyNumberFormat="1" applyBorder="1"/>
    <xf numFmtId="0" fontId="0" fillId="0" borderId="0" xfId="0" applyNumberFormat="1" applyBorder="1"/>
    <xf numFmtId="1" fontId="0" fillId="0" borderId="0" xfId="0" applyNumberFormat="1"/>
    <xf numFmtId="164" fontId="0" fillId="0" borderId="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erekening" xfId="12" builtinId="22" customBuiltin="1"/>
    <cellStyle name="Controlecel" xfId="14" builtinId="23" customBuiltin="1"/>
    <cellStyle name="Gekoppelde cel" xfId="13" builtinId="24" customBuiltin="1"/>
    <cellStyle name="Goed" xfId="7" builtinId="26" customBuiltin="1"/>
    <cellStyle name="Invoer" xfId="10" builtinId="20" customBuiltin="1"/>
    <cellStyle name="Kop 1" xfId="3" builtinId="16" customBuiltin="1"/>
    <cellStyle name="Kop 2" xfId="4" builtinId="17" customBuiltin="1"/>
    <cellStyle name="Kop 3" xfId="5" builtinId="18" customBuiltin="1"/>
    <cellStyle name="Kop 4" xfId="6" builtinId="19" customBuiltin="1"/>
    <cellStyle name="Neutraal" xfId="9" builtinId="28" customBuiltin="1"/>
    <cellStyle name="Notitie" xfId="16" builtinId="10" customBuiltin="1"/>
    <cellStyle name="Ongeldig" xfId="8" builtinId="27" customBuiltin="1"/>
    <cellStyle name="Procent" xfId="1" builtinId="5"/>
    <cellStyle name="Standaard" xfId="0" builtinId="0"/>
    <cellStyle name="Titel" xfId="2" builtinId="15" customBuiltin="1"/>
    <cellStyle name="Totaal" xfId="18" builtinId="25" customBuiltin="1"/>
    <cellStyle name="Uitvoer" xfId="11" builtinId="21" customBuiltin="1"/>
    <cellStyle name="Verklarende tekst" xfId="17" builtinId="53" customBuiltin="1"/>
    <cellStyle name="Waarschuwingsteks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/>
            </a:pPr>
            <a:r>
              <a:rPr lang="nl-NL" sz="1200" b="0"/>
              <a:t>Maximal</a:t>
            </a:r>
            <a:r>
              <a:rPr lang="nl-NL" sz="1200" b="0" baseline="0"/>
              <a:t> success rate of gaining a tile face</a:t>
            </a:r>
            <a:endParaRPr lang="nl-NL" sz="1200" b="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8400132882886475"/>
          <c:y val="0.12535101533360962"/>
          <c:w val="0.78416784256932437"/>
          <c:h val="0.75108633789197399"/>
        </c:manualLayout>
      </c:layout>
      <c:areaChart>
        <c:grouping val="stacked"/>
        <c:varyColors val="0"/>
        <c:ser>
          <c:idx val="3"/>
          <c:order val="1"/>
          <c:tx>
            <c:v>-SD</c:v>
          </c:tx>
          <c:spPr>
            <a:noFill/>
            <a:ln>
              <a:noFill/>
            </a:ln>
          </c:spPr>
          <c:cat>
            <c:numRef>
              <c:f>'win-rate'!$A$2:$A$17</c:f>
              <c:numCache>
                <c:formatCode>General</c:formatCode>
                <c:ptCount val="16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</c:numCache>
            </c:numRef>
          </c:cat>
          <c:val>
            <c:numRef>
              <c:f>'win-rate'!$G$2:$G$18</c:f>
              <c:numCache>
                <c:formatCode>0%</c:formatCode>
                <c:ptCount val="17"/>
                <c:pt idx="0">
                  <c:v>0.89051999999999998</c:v>
                </c:pt>
                <c:pt idx="1">
                  <c:v>0.85272999999999999</c:v>
                </c:pt>
                <c:pt idx="2">
                  <c:v>0.80454000000000003</c:v>
                </c:pt>
                <c:pt idx="3">
                  <c:v>0.74483999999999995</c:v>
                </c:pt>
                <c:pt idx="4">
                  <c:v>0.67654000000000003</c:v>
                </c:pt>
                <c:pt idx="5">
                  <c:v>0.60301000000000005</c:v>
                </c:pt>
                <c:pt idx="6">
                  <c:v>0.52068999999999999</c:v>
                </c:pt>
                <c:pt idx="7">
                  <c:v>0.43138000000000004</c:v>
                </c:pt>
                <c:pt idx="8">
                  <c:v>0.34242000000000006</c:v>
                </c:pt>
                <c:pt idx="9">
                  <c:v>0.26019000000000003</c:v>
                </c:pt>
                <c:pt idx="10">
                  <c:v>0.19077999999999998</c:v>
                </c:pt>
                <c:pt idx="11">
                  <c:v>0.13302000000000003</c:v>
                </c:pt>
                <c:pt idx="12">
                  <c:v>8.4489999999999996E-2</c:v>
                </c:pt>
                <c:pt idx="13">
                  <c:v>5.0799999999999998E-2</c:v>
                </c:pt>
                <c:pt idx="14">
                  <c:v>2.7530000000000002E-2</c:v>
                </c:pt>
                <c:pt idx="15">
                  <c:v>1.4669999999999999E-2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D58-4F3D-A492-A9A1B3E4504B}"/>
            </c:ext>
          </c:extLst>
        </c:ser>
        <c:ser>
          <c:idx val="1"/>
          <c:order val="2"/>
          <c:tx>
            <c:v>+SD</c:v>
          </c:tx>
          <c:spPr>
            <a:solidFill>
              <a:schemeClr val="accent1"/>
            </a:solidFill>
            <a:ln w="28575" cap="rnd">
              <a:noFill/>
              <a:round/>
            </a:ln>
            <a:effectLst/>
          </c:spPr>
          <c:cat>
            <c:numRef>
              <c:f>'win-rate'!$A$2:$A$17</c:f>
              <c:numCache>
                <c:formatCode>General</c:formatCode>
                <c:ptCount val="16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</c:numCache>
            </c:numRef>
          </c:cat>
          <c:val>
            <c:numRef>
              <c:f>'win-rate'!$J$2:$J$17</c:f>
              <c:numCache>
                <c:formatCode>0.0%</c:formatCode>
                <c:ptCount val="16"/>
                <c:pt idx="0">
                  <c:v>5.0200000000000002E-3</c:v>
                </c:pt>
                <c:pt idx="1">
                  <c:v>5.7400000000000003E-3</c:v>
                </c:pt>
                <c:pt idx="2">
                  <c:v>6.4000000000000003E-3</c:v>
                </c:pt>
                <c:pt idx="3">
                  <c:v>7.0600000000000003E-3</c:v>
                </c:pt>
                <c:pt idx="4">
                  <c:v>7.5799999999999999E-3</c:v>
                </c:pt>
                <c:pt idx="5">
                  <c:v>7.9600000000000001E-3</c:v>
                </c:pt>
                <c:pt idx="6">
                  <c:v>8.1399999999999997E-3</c:v>
                </c:pt>
                <c:pt idx="7">
                  <c:v>8.0800000000000004E-3</c:v>
                </c:pt>
                <c:pt idx="8">
                  <c:v>7.7400000000000004E-3</c:v>
                </c:pt>
                <c:pt idx="9">
                  <c:v>7.1999999999999998E-3</c:v>
                </c:pt>
                <c:pt idx="10">
                  <c:v>6.4599999999999996E-3</c:v>
                </c:pt>
                <c:pt idx="11">
                  <c:v>5.5799999999999999E-3</c:v>
                </c:pt>
                <c:pt idx="12">
                  <c:v>4.5799999999999999E-3</c:v>
                </c:pt>
                <c:pt idx="13">
                  <c:v>3.64E-3</c:v>
                </c:pt>
                <c:pt idx="14">
                  <c:v>2.7599999999999999E-3</c:v>
                </c:pt>
                <c:pt idx="15">
                  <c:v>2.0200000000000001E-3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58-4F3D-A492-A9A1B3E45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540520"/>
        <c:axId val="575541176"/>
      </c:areaChart>
      <c:lineChart>
        <c:grouping val="standard"/>
        <c:varyColors val="0"/>
        <c:ser>
          <c:idx val="2"/>
          <c:order val="0"/>
          <c:tx>
            <c:v>calculated</c:v>
          </c:tx>
          <c:spPr>
            <a:ln w="635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</c:spPr>
          </c:marker>
          <c:cat>
            <c:numRef>
              <c:f>'win-rate'!$A$2:$A$17</c:f>
              <c:numCache>
                <c:formatCode>General</c:formatCode>
                <c:ptCount val="16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</c:numCache>
            </c:numRef>
          </c:cat>
          <c:val>
            <c:numRef>
              <c:f>'win-rate'!$B$2:$B$17</c:f>
              <c:numCache>
                <c:formatCode>0%</c:formatCode>
                <c:ptCount val="16"/>
                <c:pt idx="0">
                  <c:v>0.89302999999999999</c:v>
                </c:pt>
                <c:pt idx="1">
                  <c:v>0.85560000000000003</c:v>
                </c:pt>
                <c:pt idx="2">
                  <c:v>0.80774000000000001</c:v>
                </c:pt>
                <c:pt idx="3">
                  <c:v>0.74836999999999998</c:v>
                </c:pt>
                <c:pt idx="4">
                  <c:v>0.68032999999999999</c:v>
                </c:pt>
                <c:pt idx="5">
                  <c:v>0.60699000000000003</c:v>
                </c:pt>
                <c:pt idx="6">
                  <c:v>0.52476</c:v>
                </c:pt>
                <c:pt idx="7">
                  <c:v>0.43542000000000003</c:v>
                </c:pt>
                <c:pt idx="8">
                  <c:v>0.34629000000000004</c:v>
                </c:pt>
                <c:pt idx="9">
                  <c:v>0.26379000000000002</c:v>
                </c:pt>
                <c:pt idx="10">
                  <c:v>0.19400999999999999</c:v>
                </c:pt>
                <c:pt idx="11">
                  <c:v>0.13581000000000001</c:v>
                </c:pt>
                <c:pt idx="12">
                  <c:v>8.6779999999999996E-2</c:v>
                </c:pt>
                <c:pt idx="13">
                  <c:v>5.262E-2</c:v>
                </c:pt>
                <c:pt idx="14">
                  <c:v>2.8910000000000002E-2</c:v>
                </c:pt>
                <c:pt idx="15">
                  <c:v>1.5679999999999999E-2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58-4F3D-A492-A9A1B3E45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540520"/>
        <c:axId val="575541176"/>
      </c:lineChart>
      <c:catAx>
        <c:axId val="575540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Tile value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nl-NL"/>
          </a:p>
        </c:txPr>
        <c:crossAx val="575541176"/>
        <c:crosses val="autoZero"/>
        <c:auto val="1"/>
        <c:lblAlgn val="ctr"/>
        <c:lblOffset val="100"/>
        <c:noMultiLvlLbl val="0"/>
      </c:catAx>
      <c:valAx>
        <c:axId val="57554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Success  rate</a:t>
                </a:r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nl-NL"/>
          </a:p>
        </c:txPr>
        <c:crossAx val="57554052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59971855805662866"/>
          <c:y val="0.21174692637104564"/>
          <c:w val="0.37351757086802462"/>
          <c:h val="6.5446056085094628E-2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nl-NL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Guardian Sans" panose="020B0503050503060803" pitchFamily="34" charset="0"/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200" b="0"/>
            </a:pPr>
            <a:r>
              <a:rPr lang="nl-NL" sz="1200" b="0"/>
              <a:t>Validation</a:t>
            </a:r>
            <a:r>
              <a:rPr lang="nl-NL" sz="1200" b="0" baseline="0"/>
              <a:t> of calculated chances: </a:t>
            </a:r>
          </a:p>
          <a:p>
            <a:pPr>
              <a:defRPr sz="1200" b="0"/>
            </a:pPr>
            <a:r>
              <a:rPr lang="nl-NL" sz="1200" b="0" baseline="0"/>
              <a:t>All calculations fall within 99% CI of the simulations (.1M evals)</a:t>
            </a:r>
            <a:endParaRPr lang="nl-NL" sz="1200" b="0"/>
          </a:p>
        </c:rich>
      </c:tx>
      <c:layout>
        <c:manualLayout>
          <c:xMode val="edge"/>
          <c:yMode val="edge"/>
          <c:x val="0.13047155374140013"/>
          <c:y val="1.754386449616369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71470520207962"/>
          <c:y val="0.15278357584848068"/>
          <c:w val="0.84008004746533116"/>
          <c:h val="0.75490088545403655"/>
        </c:manualLayout>
      </c:layout>
      <c:areaChart>
        <c:grouping val="standard"/>
        <c:varyColors val="0"/>
        <c:ser>
          <c:idx val="3"/>
          <c:order val="0"/>
          <c:tx>
            <c:v>sim+SD</c:v>
          </c:tx>
          <c:spPr>
            <a:solidFill>
              <a:schemeClr val="accent1">
                <a:alpha val="40000"/>
              </a:schemeClr>
            </a:solidFill>
            <a:ln w="28575" cap="rnd">
              <a:noFill/>
              <a:round/>
            </a:ln>
            <a:effectLst/>
          </c:spPr>
          <c:val>
            <c:numRef>
              <c:f>'win-rate'!$D$2:$D$17</c:f>
              <c:numCache>
                <c:formatCode>0.0%</c:formatCode>
                <c:ptCount val="16"/>
                <c:pt idx="0">
                  <c:v>2.5100000000000001E-3</c:v>
                </c:pt>
                <c:pt idx="1">
                  <c:v>2.8700000000000002E-3</c:v>
                </c:pt>
                <c:pt idx="2">
                  <c:v>3.2000000000000002E-3</c:v>
                </c:pt>
                <c:pt idx="3">
                  <c:v>3.5300000000000002E-3</c:v>
                </c:pt>
                <c:pt idx="4">
                  <c:v>3.79E-3</c:v>
                </c:pt>
                <c:pt idx="5">
                  <c:v>3.98E-3</c:v>
                </c:pt>
                <c:pt idx="6">
                  <c:v>4.0699999999999998E-3</c:v>
                </c:pt>
                <c:pt idx="7">
                  <c:v>4.0400000000000002E-3</c:v>
                </c:pt>
                <c:pt idx="8">
                  <c:v>3.8700000000000002E-3</c:v>
                </c:pt>
                <c:pt idx="9">
                  <c:v>3.5999999999999999E-3</c:v>
                </c:pt>
                <c:pt idx="10">
                  <c:v>3.2299999999999998E-3</c:v>
                </c:pt>
                <c:pt idx="11">
                  <c:v>2.7899999999999999E-3</c:v>
                </c:pt>
                <c:pt idx="12">
                  <c:v>2.2899999999999999E-3</c:v>
                </c:pt>
                <c:pt idx="13">
                  <c:v>1.82E-3</c:v>
                </c:pt>
                <c:pt idx="14">
                  <c:v>1.3799999999999999E-3</c:v>
                </c:pt>
                <c:pt idx="15">
                  <c:v>1.01E-3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F5C-46C7-A775-21397970062A}"/>
            </c:ext>
          </c:extLst>
        </c:ser>
        <c:ser>
          <c:idx val="1"/>
          <c:order val="1"/>
          <c:tx>
            <c:strRef>
              <c:f>'win-rate'!$E$1</c:f>
              <c:strCache>
                <c:ptCount val="1"/>
                <c:pt idx="0">
                  <c:v>sim-SD</c:v>
                </c:pt>
              </c:strCache>
            </c:strRef>
          </c:tx>
          <c:spPr>
            <a:solidFill>
              <a:schemeClr val="accent1">
                <a:alpha val="40000"/>
              </a:schemeClr>
            </a:solidFill>
            <a:ln>
              <a:noFill/>
            </a:ln>
          </c:spPr>
          <c:val>
            <c:numRef>
              <c:f>'win-rate'!$E$2:$E$17</c:f>
              <c:numCache>
                <c:formatCode>0%</c:formatCode>
                <c:ptCount val="16"/>
                <c:pt idx="0">
                  <c:v>-2.5100000000000001E-3</c:v>
                </c:pt>
                <c:pt idx="1">
                  <c:v>-2.8700000000000002E-3</c:v>
                </c:pt>
                <c:pt idx="2">
                  <c:v>-3.2000000000000002E-3</c:v>
                </c:pt>
                <c:pt idx="3">
                  <c:v>-3.5300000000000002E-3</c:v>
                </c:pt>
                <c:pt idx="4">
                  <c:v>-3.79E-3</c:v>
                </c:pt>
                <c:pt idx="5">
                  <c:v>-3.98E-3</c:v>
                </c:pt>
                <c:pt idx="6">
                  <c:v>-4.0699999999999998E-3</c:v>
                </c:pt>
                <c:pt idx="7">
                  <c:v>-4.0400000000000002E-3</c:v>
                </c:pt>
                <c:pt idx="8">
                  <c:v>-3.8700000000000002E-3</c:v>
                </c:pt>
                <c:pt idx="9">
                  <c:v>-3.5999999999999999E-3</c:v>
                </c:pt>
                <c:pt idx="10">
                  <c:v>-3.2299999999999998E-3</c:v>
                </c:pt>
                <c:pt idx="11">
                  <c:v>-2.7899999999999999E-3</c:v>
                </c:pt>
                <c:pt idx="12">
                  <c:v>-2.2899999999999999E-3</c:v>
                </c:pt>
                <c:pt idx="13">
                  <c:v>-1.82E-3</c:v>
                </c:pt>
                <c:pt idx="14">
                  <c:v>-1.3799999999999999E-3</c:v>
                </c:pt>
                <c:pt idx="15">
                  <c:v>-1.01E-3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0F5C-46C7-A775-213979700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509024"/>
        <c:axId val="296506072"/>
      </c:areaChart>
      <c:lineChart>
        <c:grouping val="standard"/>
        <c:varyColors val="0"/>
        <c:ser>
          <c:idx val="2"/>
          <c:order val="2"/>
          <c:tx>
            <c:strRef>
              <c:f>'win-rate'!$F$1</c:f>
              <c:strCache>
                <c:ptCount val="1"/>
                <c:pt idx="0">
                  <c:v>sim-calc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'win-rate'!$F$2:$F$17</c:f>
              <c:numCache>
                <c:formatCode>0%</c:formatCode>
                <c:ptCount val="16"/>
                <c:pt idx="0">
                  <c:v>6.3999999999997392E-4</c:v>
                </c:pt>
                <c:pt idx="1">
                  <c:v>-1.2100000000000444E-3</c:v>
                </c:pt>
                <c:pt idx="2">
                  <c:v>1.3099999999999223E-3</c:v>
                </c:pt>
                <c:pt idx="3">
                  <c:v>1.0299999999999754E-3</c:v>
                </c:pt>
                <c:pt idx="4">
                  <c:v>1.7300000000000093E-3</c:v>
                </c:pt>
                <c:pt idx="5">
                  <c:v>1.1699999999998933E-3</c:v>
                </c:pt>
                <c:pt idx="6">
                  <c:v>7.699999999999374E-4</c:v>
                </c:pt>
                <c:pt idx="7">
                  <c:v>4.7999999999992493E-4</c:v>
                </c:pt>
                <c:pt idx="8">
                  <c:v>-7.8000000000005842E-4</c:v>
                </c:pt>
                <c:pt idx="9">
                  <c:v>2.5000000000000022E-3</c:v>
                </c:pt>
                <c:pt idx="10">
                  <c:v>8.3000000000002516E-4</c:v>
                </c:pt>
                <c:pt idx="11">
                  <c:v>-1.5000000000001124E-4</c:v>
                </c:pt>
                <c:pt idx="12">
                  <c:v>-3.7999999999999146E-4</c:v>
                </c:pt>
                <c:pt idx="13">
                  <c:v>1.4000000000000123E-4</c:v>
                </c:pt>
                <c:pt idx="14">
                  <c:v>8.7999999999999884E-4</c:v>
                </c:pt>
                <c:pt idx="15">
                  <c:v>-7.0000000000000617E-5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0F5C-46C7-A775-213979700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509024"/>
        <c:axId val="296506072"/>
      </c:lineChart>
      <c:catAx>
        <c:axId val="29650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Tile value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nl-NL"/>
          </a:p>
        </c:txPr>
        <c:crossAx val="296506072"/>
        <c:crosses val="autoZero"/>
        <c:auto val="1"/>
        <c:lblAlgn val="ctr"/>
        <c:lblOffset val="100"/>
        <c:noMultiLvlLbl val="0"/>
      </c:catAx>
      <c:valAx>
        <c:axId val="296506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Error from</a:t>
                </a:r>
                <a:r>
                  <a:rPr lang="nl-NL" baseline="0"/>
                  <a:t> simulation</a:t>
                </a:r>
                <a:endParaRPr lang="nl-NL"/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nl-NL"/>
          </a:p>
        </c:txPr>
        <c:crossAx val="29650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928235493412082"/>
          <c:y val="0.68396454868477663"/>
          <c:w val="0.14704951278513512"/>
          <c:h val="0.19633822249985425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Guardian Sans" panose="020B0503050503060803" pitchFamily="34" charset="0"/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nl-NL"/>
              <a:t>Tile</a:t>
            </a:r>
            <a:r>
              <a:rPr lang="nl-NL" baseline="0"/>
              <a:t> score - Risk trade-off</a:t>
            </a:r>
            <a:endParaRPr lang="nl-NL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38108446671439"/>
          <c:y val="9.1833381938368819E-2"/>
          <c:w val="0.81450787401574798"/>
          <c:h val="0.79852882278604065"/>
        </c:manualLayout>
      </c:layout>
      <c:areaChart>
        <c:grouping val="stacked"/>
        <c:varyColors val="0"/>
        <c:ser>
          <c:idx val="0"/>
          <c:order val="2"/>
          <c:tx>
            <c:strRef>
              <c:f>'risk-vs-score'!$G$2</c:f>
              <c:strCache>
                <c:ptCount val="1"/>
                <c:pt idx="0">
                  <c:v>-SD</c:v>
                </c:pt>
              </c:strCache>
            </c:strRef>
          </c:tx>
          <c:spPr>
            <a:noFill/>
            <a:ln w="19050" cap="rnd">
              <a:noFill/>
              <a:round/>
            </a:ln>
            <a:effectLst/>
          </c:spPr>
          <c:cat>
            <c:numRef>
              <c:f>'risk-vs-score'!$A$4:$A$104</c:f>
              <c:numCache>
                <c:formatCode>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'risk-vs-score'!$F$4:$F$104</c:f>
              <c:numCache>
                <c:formatCode>General</c:formatCode>
                <c:ptCount val="101"/>
                <c:pt idx="0">
                  <c:v>20.64695</c:v>
                </c:pt>
                <c:pt idx="1">
                  <c:v>21.217741</c:v>
                </c:pt>
                <c:pt idx="2">
                  <c:v>21.256494</c:v>
                </c:pt>
                <c:pt idx="3">
                  <c:v>21.248543999999999</c:v>
                </c:pt>
                <c:pt idx="4">
                  <c:v>21.373678999999999</c:v>
                </c:pt>
                <c:pt idx="5">
                  <c:v>21.374669000000001</c:v>
                </c:pt>
                <c:pt idx="6">
                  <c:v>21.398985</c:v>
                </c:pt>
                <c:pt idx="7">
                  <c:v>21.395120000000002</c:v>
                </c:pt>
                <c:pt idx="8">
                  <c:v>21.381767</c:v>
                </c:pt>
                <c:pt idx="9">
                  <c:v>21.380019000000001</c:v>
                </c:pt>
                <c:pt idx="10">
                  <c:v>21.392796999999998</c:v>
                </c:pt>
                <c:pt idx="11">
                  <c:v>21.375619</c:v>
                </c:pt>
                <c:pt idx="12">
                  <c:v>21.306086999999998</c:v>
                </c:pt>
                <c:pt idx="13">
                  <c:v>22.333945</c:v>
                </c:pt>
                <c:pt idx="14">
                  <c:v>22.346346999999998</c:v>
                </c:pt>
                <c:pt idx="15">
                  <c:v>22.355286</c:v>
                </c:pt>
                <c:pt idx="16">
                  <c:v>22.337792</c:v>
                </c:pt>
                <c:pt idx="17">
                  <c:v>22.335241</c:v>
                </c:pt>
                <c:pt idx="18">
                  <c:v>22.346581</c:v>
                </c:pt>
                <c:pt idx="19">
                  <c:v>22.380231000000002</c:v>
                </c:pt>
                <c:pt idx="20">
                  <c:v>22.366054999999999</c:v>
                </c:pt>
                <c:pt idx="21">
                  <c:v>22.397243</c:v>
                </c:pt>
                <c:pt idx="22">
                  <c:v>22.452064</c:v>
                </c:pt>
                <c:pt idx="23">
                  <c:v>22.444820999999997</c:v>
                </c:pt>
                <c:pt idx="24">
                  <c:v>22.456876999999999</c:v>
                </c:pt>
                <c:pt idx="25">
                  <c:v>22.745571000000002</c:v>
                </c:pt>
                <c:pt idx="26">
                  <c:v>22.764900000000001</c:v>
                </c:pt>
                <c:pt idx="27">
                  <c:v>22.756587</c:v>
                </c:pt>
                <c:pt idx="28">
                  <c:v>22.768787000000003</c:v>
                </c:pt>
                <c:pt idx="29">
                  <c:v>22.783679000000003</c:v>
                </c:pt>
                <c:pt idx="30">
                  <c:v>23.253846000000003</c:v>
                </c:pt>
                <c:pt idx="31">
                  <c:v>23.217663000000002</c:v>
                </c:pt>
                <c:pt idx="32">
                  <c:v>23.203699</c:v>
                </c:pt>
                <c:pt idx="33">
                  <c:v>23.194227999999999</c:v>
                </c:pt>
                <c:pt idx="34">
                  <c:v>23.180392000000001</c:v>
                </c:pt>
                <c:pt idx="35">
                  <c:v>23.184738000000003</c:v>
                </c:pt>
                <c:pt idx="36">
                  <c:v>23.186848999999999</c:v>
                </c:pt>
                <c:pt idx="37">
                  <c:v>23.170332000000002</c:v>
                </c:pt>
                <c:pt idx="38">
                  <c:v>23.213633000000002</c:v>
                </c:pt>
                <c:pt idx="39">
                  <c:v>23.238714999999999</c:v>
                </c:pt>
                <c:pt idx="40">
                  <c:v>23.209553</c:v>
                </c:pt>
                <c:pt idx="41">
                  <c:v>23.337923</c:v>
                </c:pt>
                <c:pt idx="42">
                  <c:v>23.362821</c:v>
                </c:pt>
                <c:pt idx="43">
                  <c:v>23.359265999999998</c:v>
                </c:pt>
                <c:pt idx="44">
                  <c:v>23.381591999999998</c:v>
                </c:pt>
                <c:pt idx="45">
                  <c:v>24.616789000000001</c:v>
                </c:pt>
                <c:pt idx="46">
                  <c:v>24.67109</c:v>
                </c:pt>
                <c:pt idx="47">
                  <c:v>24.645686000000001</c:v>
                </c:pt>
                <c:pt idx="48">
                  <c:v>24.644285999999997</c:v>
                </c:pt>
                <c:pt idx="49">
                  <c:v>24.685017999999999</c:v>
                </c:pt>
                <c:pt idx="50">
                  <c:v>24.674352000000003</c:v>
                </c:pt>
                <c:pt idx="51">
                  <c:v>24.564819</c:v>
                </c:pt>
                <c:pt idx="52">
                  <c:v>24.565235999999999</c:v>
                </c:pt>
                <c:pt idx="53">
                  <c:v>24.593888999999997</c:v>
                </c:pt>
                <c:pt idx="54">
                  <c:v>24.543375999999999</c:v>
                </c:pt>
                <c:pt idx="55">
                  <c:v>24.551013000000001</c:v>
                </c:pt>
                <c:pt idx="56">
                  <c:v>24.545868000000002</c:v>
                </c:pt>
                <c:pt idx="57">
                  <c:v>24.551906000000002</c:v>
                </c:pt>
                <c:pt idx="58">
                  <c:v>24.555826</c:v>
                </c:pt>
                <c:pt idx="59">
                  <c:v>24.566348999999999</c:v>
                </c:pt>
                <c:pt idx="60">
                  <c:v>24.566496000000001</c:v>
                </c:pt>
                <c:pt idx="61">
                  <c:v>24.590057999999999</c:v>
                </c:pt>
                <c:pt idx="62">
                  <c:v>24.637768999999999</c:v>
                </c:pt>
                <c:pt idx="63">
                  <c:v>24.734775999999997</c:v>
                </c:pt>
                <c:pt idx="64">
                  <c:v>24.743351000000001</c:v>
                </c:pt>
                <c:pt idx="65">
                  <c:v>24.792387999999999</c:v>
                </c:pt>
                <c:pt idx="66">
                  <c:v>24.788531999999996</c:v>
                </c:pt>
                <c:pt idx="67">
                  <c:v>24.792922999999998</c:v>
                </c:pt>
                <c:pt idx="68">
                  <c:v>24.728745999999997</c:v>
                </c:pt>
                <c:pt idx="69">
                  <c:v>24.70148</c:v>
                </c:pt>
                <c:pt idx="70">
                  <c:v>25.590944</c:v>
                </c:pt>
                <c:pt idx="71">
                  <c:v>25.58314</c:v>
                </c:pt>
                <c:pt idx="72">
                  <c:v>25.586742999999998</c:v>
                </c:pt>
                <c:pt idx="73">
                  <c:v>25.571306</c:v>
                </c:pt>
                <c:pt idx="74">
                  <c:v>25.556515000000001</c:v>
                </c:pt>
                <c:pt idx="75">
                  <c:v>25.549419</c:v>
                </c:pt>
                <c:pt idx="76">
                  <c:v>25.600860000000001</c:v>
                </c:pt>
                <c:pt idx="77">
                  <c:v>25.579539</c:v>
                </c:pt>
                <c:pt idx="78">
                  <c:v>25.616043000000001</c:v>
                </c:pt>
                <c:pt idx="79">
                  <c:v>25.578644000000001</c:v>
                </c:pt>
                <c:pt idx="80">
                  <c:v>25.576582000000002</c:v>
                </c:pt>
                <c:pt idx="81">
                  <c:v>25.589536000000003</c:v>
                </c:pt>
                <c:pt idx="82">
                  <c:v>25.586146000000003</c:v>
                </c:pt>
                <c:pt idx="83">
                  <c:v>25.571759</c:v>
                </c:pt>
                <c:pt idx="84">
                  <c:v>27.225946</c:v>
                </c:pt>
                <c:pt idx="85">
                  <c:v>27.285595000000001</c:v>
                </c:pt>
                <c:pt idx="86">
                  <c:v>27.265099000000003</c:v>
                </c:pt>
                <c:pt idx="87">
                  <c:v>27.289584999999999</c:v>
                </c:pt>
                <c:pt idx="88">
                  <c:v>27.344223999999997</c:v>
                </c:pt>
                <c:pt idx="89">
                  <c:v>27.315652</c:v>
                </c:pt>
                <c:pt idx="90">
                  <c:v>27.266397000000001</c:v>
                </c:pt>
                <c:pt idx="91">
                  <c:v>27.319146</c:v>
                </c:pt>
                <c:pt idx="92">
                  <c:v>27.226323999999998</c:v>
                </c:pt>
                <c:pt idx="93">
                  <c:v>27.244402999999998</c:v>
                </c:pt>
                <c:pt idx="94">
                  <c:v>27.221162</c:v>
                </c:pt>
                <c:pt idx="95">
                  <c:v>27.191283000000002</c:v>
                </c:pt>
                <c:pt idx="96">
                  <c:v>27.312168999999997</c:v>
                </c:pt>
                <c:pt idx="97">
                  <c:v>27.285691999999997</c:v>
                </c:pt>
                <c:pt idx="98">
                  <c:v>27.216943000000001</c:v>
                </c:pt>
                <c:pt idx="99">
                  <c:v>27.192246000000001</c:v>
                </c:pt>
                <c:pt idx="100">
                  <c:v>26.212889999999998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7BB-4583-B542-003A7F1C124A}"/>
            </c:ext>
          </c:extLst>
        </c:ser>
        <c:ser>
          <c:idx val="1"/>
          <c:order val="3"/>
          <c:tx>
            <c:strRef>
              <c:f>'risk-vs-score'!$F$2</c:f>
              <c:strCache>
                <c:ptCount val="1"/>
                <c:pt idx="0">
                  <c:v>+SD</c:v>
                </c:pt>
              </c:strCache>
            </c:strRef>
          </c:tx>
          <c:spPr>
            <a:solidFill>
              <a:schemeClr val="accent1">
                <a:alpha val="26000"/>
              </a:schemeClr>
            </a:solidFill>
            <a:ln w="19050">
              <a:noFill/>
            </a:ln>
          </c:spPr>
          <c:cat>
            <c:numRef>
              <c:f>'risk-vs-score'!$A$4:$A$104</c:f>
              <c:numCache>
                <c:formatCode>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'risk-vs-score'!$G$4:$G$104</c:f>
              <c:numCache>
                <c:formatCode>General</c:formatCode>
                <c:ptCount val="101"/>
                <c:pt idx="0">
                  <c:v>4.7959379999999996</c:v>
                </c:pt>
                <c:pt idx="1">
                  <c:v>5.0014180000000001</c:v>
                </c:pt>
                <c:pt idx="2">
                  <c:v>5.0146879999999996</c:v>
                </c:pt>
                <c:pt idx="3">
                  <c:v>5.033112</c:v>
                </c:pt>
                <c:pt idx="4">
                  <c:v>5.9069919999999998</c:v>
                </c:pt>
                <c:pt idx="5">
                  <c:v>5.8862160000000001</c:v>
                </c:pt>
                <c:pt idx="6">
                  <c:v>5.898784</c:v>
                </c:pt>
                <c:pt idx="7">
                  <c:v>5.9054599999999997</c:v>
                </c:pt>
                <c:pt idx="8">
                  <c:v>5.9005900000000002</c:v>
                </c:pt>
                <c:pt idx="9">
                  <c:v>5.9059819999999998</c:v>
                </c:pt>
                <c:pt idx="10">
                  <c:v>5.928966</c:v>
                </c:pt>
                <c:pt idx="11">
                  <c:v>5.877434</c:v>
                </c:pt>
                <c:pt idx="12">
                  <c:v>6.2743760000000002</c:v>
                </c:pt>
                <c:pt idx="13">
                  <c:v>6.1854120000000004</c:v>
                </c:pt>
                <c:pt idx="14">
                  <c:v>6.1660120000000003</c:v>
                </c:pt>
                <c:pt idx="15">
                  <c:v>6.1922059999999997</c:v>
                </c:pt>
                <c:pt idx="16">
                  <c:v>6.1742400000000002</c:v>
                </c:pt>
                <c:pt idx="17">
                  <c:v>6.1881180000000002</c:v>
                </c:pt>
                <c:pt idx="18">
                  <c:v>6.1393440000000004</c:v>
                </c:pt>
                <c:pt idx="19">
                  <c:v>6.178382</c:v>
                </c:pt>
                <c:pt idx="20">
                  <c:v>6.1845619999999997</c:v>
                </c:pt>
                <c:pt idx="21">
                  <c:v>6.1851419999999999</c:v>
                </c:pt>
                <c:pt idx="22">
                  <c:v>6.255026</c:v>
                </c:pt>
                <c:pt idx="23">
                  <c:v>6.2625820000000001</c:v>
                </c:pt>
                <c:pt idx="24">
                  <c:v>6.2389219999999996</c:v>
                </c:pt>
                <c:pt idx="25">
                  <c:v>7.082662</c:v>
                </c:pt>
                <c:pt idx="26">
                  <c:v>7.0695920000000001</c:v>
                </c:pt>
                <c:pt idx="27">
                  <c:v>7.0708580000000003</c:v>
                </c:pt>
                <c:pt idx="28">
                  <c:v>7.064508</c:v>
                </c:pt>
                <c:pt idx="29">
                  <c:v>7.026478</c:v>
                </c:pt>
                <c:pt idx="30">
                  <c:v>6.6810280000000004</c:v>
                </c:pt>
                <c:pt idx="31">
                  <c:v>6.7036860000000003</c:v>
                </c:pt>
                <c:pt idx="32">
                  <c:v>6.7114700000000003</c:v>
                </c:pt>
                <c:pt idx="33">
                  <c:v>6.7162420000000003</c:v>
                </c:pt>
                <c:pt idx="34">
                  <c:v>6.7504059999999999</c:v>
                </c:pt>
                <c:pt idx="35">
                  <c:v>6.7672080000000001</c:v>
                </c:pt>
                <c:pt idx="36">
                  <c:v>6.7165319999999999</c:v>
                </c:pt>
                <c:pt idx="37">
                  <c:v>6.7000440000000001</c:v>
                </c:pt>
                <c:pt idx="38">
                  <c:v>6.7995039999999998</c:v>
                </c:pt>
                <c:pt idx="39">
                  <c:v>6.7821160000000003</c:v>
                </c:pt>
                <c:pt idx="40">
                  <c:v>6.8123139999999998</c:v>
                </c:pt>
                <c:pt idx="41">
                  <c:v>6.8344440000000004</c:v>
                </c:pt>
                <c:pt idx="42">
                  <c:v>6.789758</c:v>
                </c:pt>
                <c:pt idx="43">
                  <c:v>6.827426</c:v>
                </c:pt>
                <c:pt idx="44">
                  <c:v>6.8307979999999997</c:v>
                </c:pt>
                <c:pt idx="45">
                  <c:v>6.4286839999999996</c:v>
                </c:pt>
                <c:pt idx="46">
                  <c:v>6.3961920000000001</c:v>
                </c:pt>
                <c:pt idx="47">
                  <c:v>6.43398</c:v>
                </c:pt>
                <c:pt idx="48">
                  <c:v>6.4165099999999997</c:v>
                </c:pt>
                <c:pt idx="49">
                  <c:v>6.388674</c:v>
                </c:pt>
                <c:pt idx="50">
                  <c:v>6.3909099999999999</c:v>
                </c:pt>
                <c:pt idx="51">
                  <c:v>6.6623080000000003</c:v>
                </c:pt>
                <c:pt idx="52">
                  <c:v>6.6854259999999996</c:v>
                </c:pt>
                <c:pt idx="53">
                  <c:v>6.6568620000000003</c:v>
                </c:pt>
                <c:pt idx="54">
                  <c:v>6.6848460000000003</c:v>
                </c:pt>
                <c:pt idx="55">
                  <c:v>6.6800699999999997</c:v>
                </c:pt>
                <c:pt idx="56">
                  <c:v>6.7195419999999997</c:v>
                </c:pt>
                <c:pt idx="57">
                  <c:v>6.6762639999999998</c:v>
                </c:pt>
                <c:pt idx="58">
                  <c:v>6.6653460000000004</c:v>
                </c:pt>
                <c:pt idx="59">
                  <c:v>6.6794960000000003</c:v>
                </c:pt>
                <c:pt idx="60">
                  <c:v>6.6711960000000001</c:v>
                </c:pt>
                <c:pt idx="61">
                  <c:v>6.7327599999999999</c:v>
                </c:pt>
                <c:pt idx="62">
                  <c:v>6.7606960000000003</c:v>
                </c:pt>
                <c:pt idx="63">
                  <c:v>6.7676920000000003</c:v>
                </c:pt>
                <c:pt idx="64">
                  <c:v>6.7575079999999996</c:v>
                </c:pt>
                <c:pt idx="65">
                  <c:v>6.7204040000000003</c:v>
                </c:pt>
                <c:pt idx="66">
                  <c:v>6.7758620000000001</c:v>
                </c:pt>
                <c:pt idx="67">
                  <c:v>7.5803140000000004</c:v>
                </c:pt>
                <c:pt idx="68">
                  <c:v>7.5962339999999999</c:v>
                </c:pt>
                <c:pt idx="69">
                  <c:v>7.6276679999999999</c:v>
                </c:pt>
                <c:pt idx="70">
                  <c:v>6.9666399999999999</c:v>
                </c:pt>
                <c:pt idx="71">
                  <c:v>6.9861820000000003</c:v>
                </c:pt>
                <c:pt idx="72">
                  <c:v>6.9874140000000002</c:v>
                </c:pt>
                <c:pt idx="73">
                  <c:v>6.9985439999999999</c:v>
                </c:pt>
                <c:pt idx="74">
                  <c:v>6.9773680000000002</c:v>
                </c:pt>
                <c:pt idx="75">
                  <c:v>6.9830540000000001</c:v>
                </c:pt>
                <c:pt idx="76">
                  <c:v>6.9783939999999998</c:v>
                </c:pt>
                <c:pt idx="77">
                  <c:v>6.9794900000000002</c:v>
                </c:pt>
                <c:pt idx="78">
                  <c:v>6.9707140000000001</c:v>
                </c:pt>
                <c:pt idx="79">
                  <c:v>6.9861279999999999</c:v>
                </c:pt>
                <c:pt idx="80">
                  <c:v>7.0180179999999996</c:v>
                </c:pt>
                <c:pt idx="81">
                  <c:v>6.9649599999999996</c:v>
                </c:pt>
                <c:pt idx="82">
                  <c:v>6.9817419999999997</c:v>
                </c:pt>
                <c:pt idx="83">
                  <c:v>6.9745759999999999</c:v>
                </c:pt>
                <c:pt idx="84">
                  <c:v>6.6419680000000003</c:v>
                </c:pt>
                <c:pt idx="85">
                  <c:v>6.585394</c:v>
                </c:pt>
                <c:pt idx="86">
                  <c:v>6.6120919999999996</c:v>
                </c:pt>
                <c:pt idx="87">
                  <c:v>6.5626059999999997</c:v>
                </c:pt>
                <c:pt idx="88">
                  <c:v>6.5846499999999999</c:v>
                </c:pt>
                <c:pt idx="89">
                  <c:v>6.5452120000000003</c:v>
                </c:pt>
                <c:pt idx="90">
                  <c:v>6.645778</c:v>
                </c:pt>
                <c:pt idx="91">
                  <c:v>6.6064119999999997</c:v>
                </c:pt>
                <c:pt idx="92">
                  <c:v>6.6448539999999996</c:v>
                </c:pt>
                <c:pt idx="93">
                  <c:v>6.65062</c:v>
                </c:pt>
                <c:pt idx="94">
                  <c:v>6.6767200000000004</c:v>
                </c:pt>
                <c:pt idx="95">
                  <c:v>6.7212500000000004</c:v>
                </c:pt>
                <c:pt idx="96">
                  <c:v>6.7009259999999999</c:v>
                </c:pt>
                <c:pt idx="97">
                  <c:v>6.6639460000000001</c:v>
                </c:pt>
                <c:pt idx="98">
                  <c:v>6.7630879999999998</c:v>
                </c:pt>
                <c:pt idx="99">
                  <c:v>6.8465759999999998</c:v>
                </c:pt>
                <c:pt idx="100">
                  <c:v>7.6544619999999997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7BB-4583-B542-003A7F1C1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433216"/>
        <c:axId val="486435840"/>
      </c:areaChart>
      <c:scatterChart>
        <c:scatterStyle val="lineMarker"/>
        <c:varyColors val="0"/>
        <c:ser>
          <c:idx val="2"/>
          <c:order val="0"/>
          <c:tx>
            <c:strRef>
              <c:f>'risk-vs-score'!$B$2</c:f>
              <c:strCache>
                <c:ptCount val="1"/>
                <c:pt idx="0">
                  <c:v>Success rate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>
                <a:noFill/>
              </a:ln>
            </c:spPr>
          </c:marker>
          <c:xVal>
            <c:numRef>
              <c:f>'risk-vs-score'!$A$4:$A$104</c:f>
              <c:numCache>
                <c:formatCode>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'risk-vs-score'!$B$4:$B$104</c:f>
              <c:numCache>
                <c:formatCode>0%</c:formatCode>
                <c:ptCount val="101"/>
                <c:pt idx="0">
                  <c:v>0.89100000000000001</c:v>
                </c:pt>
                <c:pt idx="1">
                  <c:v>0.89300000000000002</c:v>
                </c:pt>
                <c:pt idx="2">
                  <c:v>0.89300000000000002</c:v>
                </c:pt>
                <c:pt idx="3">
                  <c:v>0.89200000000000002</c:v>
                </c:pt>
                <c:pt idx="4">
                  <c:v>0.88800000000000001</c:v>
                </c:pt>
                <c:pt idx="5">
                  <c:v>0.88700000000000001</c:v>
                </c:pt>
                <c:pt idx="6">
                  <c:v>0.88800000000000001</c:v>
                </c:pt>
                <c:pt idx="7">
                  <c:v>0.88900000000000001</c:v>
                </c:pt>
                <c:pt idx="8">
                  <c:v>0.88900000000000001</c:v>
                </c:pt>
                <c:pt idx="9">
                  <c:v>0.88700000000000001</c:v>
                </c:pt>
                <c:pt idx="10">
                  <c:v>0.88700000000000001</c:v>
                </c:pt>
                <c:pt idx="11">
                  <c:v>0.88800000000000001</c:v>
                </c:pt>
                <c:pt idx="12">
                  <c:v>0.88400000000000001</c:v>
                </c:pt>
                <c:pt idx="13">
                  <c:v>0.84699999999999998</c:v>
                </c:pt>
                <c:pt idx="14">
                  <c:v>0.85</c:v>
                </c:pt>
                <c:pt idx="15">
                  <c:v>0.85099999999999998</c:v>
                </c:pt>
                <c:pt idx="16">
                  <c:v>0.85099999999999998</c:v>
                </c:pt>
                <c:pt idx="17">
                  <c:v>0.84899999999999998</c:v>
                </c:pt>
                <c:pt idx="18">
                  <c:v>0.85</c:v>
                </c:pt>
                <c:pt idx="19">
                  <c:v>0.84799999999999998</c:v>
                </c:pt>
                <c:pt idx="20">
                  <c:v>0.84899999999999998</c:v>
                </c:pt>
                <c:pt idx="21">
                  <c:v>0.84699999999999998</c:v>
                </c:pt>
                <c:pt idx="22">
                  <c:v>0.84799999999999998</c:v>
                </c:pt>
                <c:pt idx="23">
                  <c:v>0.84499999999999997</c:v>
                </c:pt>
                <c:pt idx="24">
                  <c:v>0.84399999999999997</c:v>
                </c:pt>
                <c:pt idx="25">
                  <c:v>0.78200000000000003</c:v>
                </c:pt>
                <c:pt idx="26">
                  <c:v>0.78300000000000003</c:v>
                </c:pt>
                <c:pt idx="27">
                  <c:v>0.78300000000000003</c:v>
                </c:pt>
                <c:pt idx="28">
                  <c:v>0.78100000000000003</c:v>
                </c:pt>
                <c:pt idx="29">
                  <c:v>0.78200000000000003</c:v>
                </c:pt>
                <c:pt idx="30">
                  <c:v>0.76400000000000001</c:v>
                </c:pt>
                <c:pt idx="31">
                  <c:v>0.76100000000000001</c:v>
                </c:pt>
                <c:pt idx="32">
                  <c:v>0.76300000000000001</c:v>
                </c:pt>
                <c:pt idx="33">
                  <c:v>0.76300000000000001</c:v>
                </c:pt>
                <c:pt idx="34">
                  <c:v>0.76200000000000001</c:v>
                </c:pt>
                <c:pt idx="35">
                  <c:v>0.76300000000000001</c:v>
                </c:pt>
                <c:pt idx="36">
                  <c:v>0.76</c:v>
                </c:pt>
                <c:pt idx="37">
                  <c:v>0.76</c:v>
                </c:pt>
                <c:pt idx="38">
                  <c:v>0.75800000000000001</c:v>
                </c:pt>
                <c:pt idx="39">
                  <c:v>0.75800000000000001</c:v>
                </c:pt>
                <c:pt idx="40">
                  <c:v>0.75900000000000001</c:v>
                </c:pt>
                <c:pt idx="41">
                  <c:v>0.752</c:v>
                </c:pt>
                <c:pt idx="42">
                  <c:v>0.751</c:v>
                </c:pt>
                <c:pt idx="43">
                  <c:v>0.752</c:v>
                </c:pt>
                <c:pt idx="44">
                  <c:v>0.746</c:v>
                </c:pt>
                <c:pt idx="45">
                  <c:v>0.61899999999999999</c:v>
                </c:pt>
                <c:pt idx="46">
                  <c:v>0.62</c:v>
                </c:pt>
                <c:pt idx="47">
                  <c:v>0.61799999999999999</c:v>
                </c:pt>
                <c:pt idx="48">
                  <c:v>0.621</c:v>
                </c:pt>
                <c:pt idx="49">
                  <c:v>0.62</c:v>
                </c:pt>
                <c:pt idx="50">
                  <c:v>0.623</c:v>
                </c:pt>
                <c:pt idx="51">
                  <c:v>0.57599999999999996</c:v>
                </c:pt>
                <c:pt idx="52">
                  <c:v>0.57399999999999995</c:v>
                </c:pt>
                <c:pt idx="53">
                  <c:v>0.57599999999999996</c:v>
                </c:pt>
                <c:pt idx="54">
                  <c:v>0.57599999999999996</c:v>
                </c:pt>
                <c:pt idx="55">
                  <c:v>0.57499999999999996</c:v>
                </c:pt>
                <c:pt idx="56">
                  <c:v>0.57499999999999996</c:v>
                </c:pt>
                <c:pt idx="57">
                  <c:v>0.57799999999999996</c:v>
                </c:pt>
                <c:pt idx="58">
                  <c:v>0.57599999999999996</c:v>
                </c:pt>
                <c:pt idx="59">
                  <c:v>0.57699999999999996</c:v>
                </c:pt>
                <c:pt idx="60">
                  <c:v>0.57499999999999996</c:v>
                </c:pt>
                <c:pt idx="61">
                  <c:v>0.57399999999999995</c:v>
                </c:pt>
                <c:pt idx="62">
                  <c:v>0.56599999999999995</c:v>
                </c:pt>
                <c:pt idx="63">
                  <c:v>0.56299999999999994</c:v>
                </c:pt>
                <c:pt idx="64">
                  <c:v>0.56100000000000005</c:v>
                </c:pt>
                <c:pt idx="65">
                  <c:v>0.56100000000000005</c:v>
                </c:pt>
                <c:pt idx="66">
                  <c:v>0.56200000000000006</c:v>
                </c:pt>
                <c:pt idx="67">
                  <c:v>0.39200000000000002</c:v>
                </c:pt>
                <c:pt idx="68">
                  <c:v>0.39600000000000002</c:v>
                </c:pt>
                <c:pt idx="69">
                  <c:v>0.39400000000000002</c:v>
                </c:pt>
                <c:pt idx="70">
                  <c:v>0.36099999999999999</c:v>
                </c:pt>
                <c:pt idx="71">
                  <c:v>0.36199999999999999</c:v>
                </c:pt>
                <c:pt idx="72">
                  <c:v>0.36199999999999999</c:v>
                </c:pt>
                <c:pt idx="73">
                  <c:v>0.36099999999999999</c:v>
                </c:pt>
                <c:pt idx="74">
                  <c:v>0.36399999999999999</c:v>
                </c:pt>
                <c:pt idx="75">
                  <c:v>0.35899999999999999</c:v>
                </c:pt>
                <c:pt idx="76">
                  <c:v>0.36199999999999999</c:v>
                </c:pt>
                <c:pt idx="77">
                  <c:v>0.36099999999999999</c:v>
                </c:pt>
                <c:pt idx="78">
                  <c:v>0.35899999999999999</c:v>
                </c:pt>
                <c:pt idx="79">
                  <c:v>0.36299999999999999</c:v>
                </c:pt>
                <c:pt idx="80">
                  <c:v>0.36</c:v>
                </c:pt>
                <c:pt idx="81">
                  <c:v>0.36</c:v>
                </c:pt>
                <c:pt idx="82">
                  <c:v>0.36</c:v>
                </c:pt>
                <c:pt idx="83">
                  <c:v>0.35799999999999998</c:v>
                </c:pt>
                <c:pt idx="84">
                  <c:v>0.23499999999999999</c:v>
                </c:pt>
                <c:pt idx="85">
                  <c:v>0.23799999999999999</c:v>
                </c:pt>
                <c:pt idx="86">
                  <c:v>0.23699999999999999</c:v>
                </c:pt>
                <c:pt idx="87">
                  <c:v>0.23799999999999999</c:v>
                </c:pt>
                <c:pt idx="88">
                  <c:v>0.23499999999999999</c:v>
                </c:pt>
                <c:pt idx="89">
                  <c:v>0.23599999999999999</c:v>
                </c:pt>
                <c:pt idx="90">
                  <c:v>0.23699999999999999</c:v>
                </c:pt>
                <c:pt idx="91">
                  <c:v>0.23400000000000001</c:v>
                </c:pt>
                <c:pt idx="92">
                  <c:v>0.23499999999999999</c:v>
                </c:pt>
                <c:pt idx="93">
                  <c:v>0.23200000000000001</c:v>
                </c:pt>
                <c:pt idx="94">
                  <c:v>0.23400000000000001</c:v>
                </c:pt>
                <c:pt idx="95">
                  <c:v>0.23300000000000001</c:v>
                </c:pt>
                <c:pt idx="96">
                  <c:v>0.22900000000000001</c:v>
                </c:pt>
                <c:pt idx="97">
                  <c:v>0.22800000000000001</c:v>
                </c:pt>
                <c:pt idx="98">
                  <c:v>0.23</c:v>
                </c:pt>
                <c:pt idx="99">
                  <c:v>0.221</c:v>
                </c:pt>
                <c:pt idx="100">
                  <c:v>0.216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BB-4583-B542-003A7F1C124A}"/>
            </c:ext>
          </c:extLst>
        </c:ser>
        <c:ser>
          <c:idx val="3"/>
          <c:order val="1"/>
          <c:tx>
            <c:strRef>
              <c:f>'risk-vs-score'!$D$2</c:f>
              <c:strCache>
                <c:ptCount val="1"/>
                <c:pt idx="0">
                  <c:v>Mean win 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'risk-vs-score'!$A$4:$A$104</c:f>
              <c:numCache>
                <c:formatCode>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'risk-vs-score'!$H$4:$H$104</c:f>
              <c:numCache>
                <c:formatCode>General</c:formatCode>
                <c:ptCount val="101"/>
                <c:pt idx="0">
                  <c:v>0.13632793333333335</c:v>
                </c:pt>
                <c:pt idx="1">
                  <c:v>0.18123000000000006</c:v>
                </c:pt>
                <c:pt idx="2">
                  <c:v>0.18425586666666666</c:v>
                </c:pt>
                <c:pt idx="3">
                  <c:v>0.18434000000000003</c:v>
                </c:pt>
                <c:pt idx="4">
                  <c:v>0.22181166666666668</c:v>
                </c:pt>
                <c:pt idx="5">
                  <c:v>0.22118513333333331</c:v>
                </c:pt>
                <c:pt idx="6">
                  <c:v>0.2232251333333333</c:v>
                </c:pt>
                <c:pt idx="7">
                  <c:v>0.22319000000000008</c:v>
                </c:pt>
                <c:pt idx="8">
                  <c:v>0.2221374666666667</c:v>
                </c:pt>
                <c:pt idx="9">
                  <c:v>0.22220066666666677</c:v>
                </c:pt>
                <c:pt idx="10">
                  <c:v>0.22381866666666664</c:v>
                </c:pt>
                <c:pt idx="11">
                  <c:v>0.22095573333333338</c:v>
                </c:pt>
                <c:pt idx="12">
                  <c:v>0.22955166666666665</c:v>
                </c:pt>
                <c:pt idx="13">
                  <c:v>0.29511006666666667</c:v>
                </c:pt>
                <c:pt idx="14">
                  <c:v>0.29529019999999995</c:v>
                </c:pt>
                <c:pt idx="15">
                  <c:v>0.29675926666666658</c:v>
                </c:pt>
                <c:pt idx="16">
                  <c:v>0.2949941333333333</c:v>
                </c:pt>
                <c:pt idx="17">
                  <c:v>0.29528666666666675</c:v>
                </c:pt>
                <c:pt idx="18">
                  <c:v>0.29441686666666672</c:v>
                </c:pt>
                <c:pt idx="19">
                  <c:v>0.29796146666666679</c:v>
                </c:pt>
                <c:pt idx="20">
                  <c:v>0.29722239999999994</c:v>
                </c:pt>
                <c:pt idx="21">
                  <c:v>0.29932093333333326</c:v>
                </c:pt>
                <c:pt idx="22">
                  <c:v>0.30530513333333337</c:v>
                </c:pt>
                <c:pt idx="23">
                  <c:v>0.30507413333333322</c:v>
                </c:pt>
                <c:pt idx="24">
                  <c:v>0.3050892</c:v>
                </c:pt>
                <c:pt idx="25">
                  <c:v>0.35246013333333343</c:v>
                </c:pt>
                <c:pt idx="26">
                  <c:v>0.35331306666666673</c:v>
                </c:pt>
                <c:pt idx="27">
                  <c:v>0.35280106666666666</c:v>
                </c:pt>
                <c:pt idx="28">
                  <c:v>0.35340273333333344</c:v>
                </c:pt>
                <c:pt idx="29">
                  <c:v>0.35312786666666679</c:v>
                </c:pt>
                <c:pt idx="30">
                  <c:v>0.37295733333333347</c:v>
                </c:pt>
                <c:pt idx="31">
                  <c:v>0.37130040000000003</c:v>
                </c:pt>
                <c:pt idx="32">
                  <c:v>0.3706289333333333</c:v>
                </c:pt>
                <c:pt idx="33">
                  <c:v>0.37015659999999995</c:v>
                </c:pt>
                <c:pt idx="34">
                  <c:v>0.37037300000000001</c:v>
                </c:pt>
                <c:pt idx="35">
                  <c:v>0.37122280000000007</c:v>
                </c:pt>
                <c:pt idx="36">
                  <c:v>0.36967433333333327</c:v>
                </c:pt>
                <c:pt idx="37">
                  <c:v>0.36802360000000006</c:v>
                </c:pt>
                <c:pt idx="38">
                  <c:v>0.37422566666666673</c:v>
                </c:pt>
                <c:pt idx="39">
                  <c:v>0.37531819999999999</c:v>
                </c:pt>
                <c:pt idx="40">
                  <c:v>0.37438066666666664</c:v>
                </c:pt>
                <c:pt idx="41">
                  <c:v>0.38367633333333323</c:v>
                </c:pt>
                <c:pt idx="42">
                  <c:v>0.38384666666666667</c:v>
                </c:pt>
                <c:pt idx="43">
                  <c:v>0.38486526666666665</c:v>
                </c:pt>
                <c:pt idx="44">
                  <c:v>0.38646606666666655</c:v>
                </c:pt>
                <c:pt idx="45">
                  <c:v>0.45540873333333326</c:v>
                </c:pt>
                <c:pt idx="46">
                  <c:v>0.45794573333333327</c:v>
                </c:pt>
                <c:pt idx="47">
                  <c:v>0.45751173333333334</c:v>
                </c:pt>
                <c:pt idx="48">
                  <c:v>0.4568360666666666</c:v>
                </c:pt>
                <c:pt idx="49">
                  <c:v>0.45862366666666671</c:v>
                </c:pt>
                <c:pt idx="50">
                  <c:v>0.45798713333333346</c:v>
                </c:pt>
                <c:pt idx="51">
                  <c:v>0.45973153333333344</c:v>
                </c:pt>
                <c:pt idx="52">
                  <c:v>0.46052993333333325</c:v>
                </c:pt>
                <c:pt idx="53">
                  <c:v>0.46148799999999995</c:v>
                </c:pt>
                <c:pt idx="54">
                  <c:v>0.45905326666666657</c:v>
                </c:pt>
                <c:pt idx="55">
                  <c:v>0.45940320000000007</c:v>
                </c:pt>
                <c:pt idx="56">
                  <c:v>0.46037593333333338</c:v>
                </c:pt>
                <c:pt idx="57">
                  <c:v>0.4593358666666667</c:v>
                </c:pt>
                <c:pt idx="58">
                  <c:v>0.45923326666666664</c:v>
                </c:pt>
                <c:pt idx="59">
                  <c:v>0.46040646666666663</c:v>
                </c:pt>
                <c:pt idx="60">
                  <c:v>0.46013960000000009</c:v>
                </c:pt>
                <c:pt idx="61">
                  <c:v>0.46376253333333323</c:v>
                </c:pt>
                <c:pt idx="62">
                  <c:v>0.46787446666666666</c:v>
                </c:pt>
                <c:pt idx="63">
                  <c:v>0.47457479999999991</c:v>
                </c:pt>
                <c:pt idx="64">
                  <c:v>0.47480700000000009</c:v>
                </c:pt>
                <c:pt idx="65">
                  <c:v>0.47683933333333334</c:v>
                </c:pt>
                <c:pt idx="66">
                  <c:v>0.47843086666666657</c:v>
                </c:pt>
                <c:pt idx="67">
                  <c:v>0.50553866666666658</c:v>
                </c:pt>
                <c:pt idx="68">
                  <c:v>0.50179086666666661</c:v>
                </c:pt>
                <c:pt idx="69">
                  <c:v>0.50102093333333331</c:v>
                </c:pt>
                <c:pt idx="70">
                  <c:v>0.53828426666666662</c:v>
                </c:pt>
                <c:pt idx="71">
                  <c:v>0.53841539999999999</c:v>
                </c:pt>
                <c:pt idx="72">
                  <c:v>0.5386966666666666</c:v>
                </c:pt>
                <c:pt idx="73">
                  <c:v>0.5380385333333334</c:v>
                </c:pt>
                <c:pt idx="74">
                  <c:v>0.53634660000000001</c:v>
                </c:pt>
                <c:pt idx="75">
                  <c:v>0.53606306666666681</c:v>
                </c:pt>
                <c:pt idx="76">
                  <c:v>0.53933713333333344</c:v>
                </c:pt>
                <c:pt idx="77">
                  <c:v>0.53795226666666662</c:v>
                </c:pt>
                <c:pt idx="78">
                  <c:v>0.54009333333333343</c:v>
                </c:pt>
                <c:pt idx="79">
                  <c:v>0.53811386666666672</c:v>
                </c:pt>
                <c:pt idx="80">
                  <c:v>0.53903940000000006</c:v>
                </c:pt>
                <c:pt idx="81">
                  <c:v>0.53813440000000012</c:v>
                </c:pt>
                <c:pt idx="82">
                  <c:v>0.53846780000000005</c:v>
                </c:pt>
                <c:pt idx="83">
                  <c:v>0.53726980000000002</c:v>
                </c:pt>
                <c:pt idx="84">
                  <c:v>0.63646199999999997</c:v>
                </c:pt>
                <c:pt idx="85">
                  <c:v>0.63855280000000003</c:v>
                </c:pt>
                <c:pt idx="86">
                  <c:v>0.63807633333333347</c:v>
                </c:pt>
                <c:pt idx="87">
                  <c:v>0.63805920000000005</c:v>
                </c:pt>
                <c:pt idx="88">
                  <c:v>0.64243659999999991</c:v>
                </c:pt>
                <c:pt idx="89">
                  <c:v>0.63921719999999993</c:v>
                </c:pt>
                <c:pt idx="90">
                  <c:v>0.63928573333333338</c:v>
                </c:pt>
                <c:pt idx="91">
                  <c:v>0.64149013333333327</c:v>
                </c:pt>
                <c:pt idx="92">
                  <c:v>0.63658339999999991</c:v>
                </c:pt>
                <c:pt idx="93">
                  <c:v>0.63798086666666665</c:v>
                </c:pt>
                <c:pt idx="94">
                  <c:v>0.63730146666666676</c:v>
                </c:pt>
                <c:pt idx="95">
                  <c:v>0.63679386666666671</c:v>
                </c:pt>
                <c:pt idx="96">
                  <c:v>0.64417546666666659</c:v>
                </c:pt>
                <c:pt idx="97">
                  <c:v>0.64117766666666653</c:v>
                </c:pt>
                <c:pt idx="98">
                  <c:v>0.63989913333333326</c:v>
                </c:pt>
                <c:pt idx="99">
                  <c:v>0.64103560000000004</c:v>
                </c:pt>
                <c:pt idx="100">
                  <c:v>0.60267473333333332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BB-4583-B542-003A7F1C1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345936"/>
        <c:axId val="581347248"/>
      </c:scatterChart>
      <c:valAx>
        <c:axId val="5813459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Accepted Risk</a:t>
                </a:r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nl-NL"/>
          </a:p>
        </c:txPr>
        <c:crossAx val="581347248"/>
        <c:crosses val="autoZero"/>
        <c:crossBetween val="midCat"/>
      </c:valAx>
      <c:valAx>
        <c:axId val="5813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Success rate</a:t>
                </a:r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nl-NL"/>
          </a:p>
        </c:txPr>
        <c:crossAx val="581345936"/>
        <c:crosses val="autoZero"/>
        <c:crossBetween val="midCat"/>
      </c:valAx>
      <c:valAx>
        <c:axId val="486435840"/>
        <c:scaling>
          <c:orientation val="minMax"/>
          <c:max val="36"/>
          <c:min val="21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Mean tile score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86433216"/>
        <c:crosses val="max"/>
        <c:crossBetween val="between"/>
      </c:valAx>
      <c:catAx>
        <c:axId val="486433216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48643584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0104211405392505"/>
          <c:y val="0.7023754252940605"/>
          <c:w val="0.15422721307563828"/>
          <c:h val="0.18421852823952561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>
          <a:latin typeface="Guardian Sans" panose="020B0503050503060803" pitchFamily="34" charset="0"/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17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17</xdr:row>
      <xdr:rowOff>0</xdr:rowOff>
    </xdr:from>
    <xdr:to>
      <xdr:col>7</xdr:col>
      <xdr:colOff>1</xdr:colOff>
      <xdr:row>35</xdr:row>
      <xdr:rowOff>190499</xdr:rowOff>
    </xdr:to>
    <xdr:graphicFrame macro="">
      <xdr:nvGraphicFramePr>
        <xdr:cNvPr id="3" name="Grafie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904875</xdr:colOff>
      <xdr:row>3</xdr:row>
      <xdr:rowOff>104775</xdr:rowOff>
    </xdr:from>
    <xdr:to>
      <xdr:col>16</xdr:col>
      <xdr:colOff>485775</xdr:colOff>
      <xdr:row>30</xdr:row>
      <xdr:rowOff>104775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p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-vs-score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name="tmp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opLeftCell="A13" zoomScale="130" zoomScaleNormal="130" workbookViewId="0">
      <selection activeCell="L4" sqref="L4"/>
    </sheetView>
  </sheetViews>
  <sheetFormatPr defaultRowHeight="15" x14ac:dyDescent="0.25"/>
  <cols>
    <col min="1" max="1" width="9.140625" style="12"/>
    <col min="2" max="2" width="17.7109375" style="15" bestFit="1" customWidth="1"/>
    <col min="3" max="3" width="10.140625" style="15" bestFit="1" customWidth="1"/>
    <col min="4" max="4" width="9.140625" style="13"/>
    <col min="5" max="5" width="9.140625" style="15"/>
    <col min="6" max="6" width="10.140625" style="15" customWidth="1"/>
    <col min="7" max="7" width="9.140625" style="15"/>
    <col min="8" max="8" width="9.140625" style="13"/>
    <col min="9" max="9" width="10.140625" style="16" bestFit="1" customWidth="1"/>
    <col min="10" max="10" width="10.140625" style="18" bestFit="1" customWidth="1"/>
    <col min="11" max="16384" width="9.140625" style="12"/>
  </cols>
  <sheetData>
    <row r="1" spans="1:11" x14ac:dyDescent="0.25">
      <c r="A1" s="12" t="s">
        <v>11</v>
      </c>
      <c r="B1" s="15" t="s">
        <v>10</v>
      </c>
      <c r="C1" s="15" t="s">
        <v>6</v>
      </c>
      <c r="D1" s="13" t="s">
        <v>7</v>
      </c>
      <c r="E1" s="15" t="s">
        <v>9</v>
      </c>
      <c r="F1" s="15" t="s">
        <v>15</v>
      </c>
      <c r="G1" s="15" t="s">
        <v>14</v>
      </c>
      <c r="H1" s="13" t="s">
        <v>13</v>
      </c>
      <c r="I1" s="16" t="s">
        <v>12</v>
      </c>
    </row>
    <row r="2" spans="1:11" x14ac:dyDescent="0.25">
      <c r="A2" s="12">
        <v>21</v>
      </c>
      <c r="B2" s="15">
        <v>0.89302999999999999</v>
      </c>
      <c r="C2" s="15">
        <v>0.89366999999999996</v>
      </c>
      <c r="D2" s="13">
        <v>2.5100000000000001E-3</v>
      </c>
      <c r="E2" s="15">
        <f>-D2</f>
        <v>-2.5100000000000001E-3</v>
      </c>
      <c r="F2" s="15">
        <f>C2-B2</f>
        <v>6.3999999999997392E-4</v>
      </c>
      <c r="G2" s="15">
        <f>B2-D2</f>
        <v>0.89051999999999998</v>
      </c>
      <c r="H2" s="13" t="s">
        <v>8</v>
      </c>
      <c r="I2" s="16">
        <v>23.046952000000001</v>
      </c>
      <c r="J2" s="18">
        <f>D2*2</f>
        <v>5.0200000000000002E-3</v>
      </c>
      <c r="K2" s="14"/>
    </row>
    <row r="3" spans="1:11" x14ac:dyDescent="0.25">
      <c r="A3" s="12">
        <v>22</v>
      </c>
      <c r="B3" s="15">
        <v>0.85560000000000003</v>
      </c>
      <c r="C3" s="15">
        <v>0.85438999999999998</v>
      </c>
      <c r="D3" s="13">
        <v>2.8700000000000002E-3</v>
      </c>
      <c r="E3" s="15">
        <f t="shared" ref="E3:E17" si="0">-D3</f>
        <v>-2.8700000000000002E-3</v>
      </c>
      <c r="F3" s="15">
        <f t="shared" ref="F3:F17" si="1">C3-B3</f>
        <v>-1.2100000000000444E-3</v>
      </c>
      <c r="G3" s="15">
        <f t="shared" ref="G3:G17" si="2">B3-D3</f>
        <v>0.85272999999999999</v>
      </c>
      <c r="H3" s="13" t="s">
        <v>8</v>
      </c>
      <c r="I3" s="16">
        <v>23.970165999999999</v>
      </c>
      <c r="J3" s="18">
        <f t="shared" ref="J3:J17" si="3">D3*2</f>
        <v>5.7400000000000003E-3</v>
      </c>
      <c r="K3" s="14"/>
    </row>
    <row r="4" spans="1:11" x14ac:dyDescent="0.25">
      <c r="A4" s="12">
        <v>23</v>
      </c>
      <c r="B4" s="15">
        <v>0.80774000000000001</v>
      </c>
      <c r="C4" s="15">
        <v>0.80904999999999994</v>
      </c>
      <c r="D4" s="13">
        <v>3.2000000000000002E-3</v>
      </c>
      <c r="E4" s="15">
        <f t="shared" si="0"/>
        <v>-3.2000000000000002E-3</v>
      </c>
      <c r="F4" s="15">
        <f t="shared" si="1"/>
        <v>1.3099999999999223E-3</v>
      </c>
      <c r="G4" s="15">
        <f t="shared" si="2"/>
        <v>0.80454000000000003</v>
      </c>
      <c r="H4" s="13" t="s">
        <v>8</v>
      </c>
      <c r="I4" s="16">
        <v>24.775959</v>
      </c>
      <c r="J4" s="18">
        <f t="shared" si="3"/>
        <v>6.4000000000000003E-3</v>
      </c>
      <c r="K4" s="14"/>
    </row>
    <row r="5" spans="1:11" x14ac:dyDescent="0.25">
      <c r="A5" s="12">
        <v>24</v>
      </c>
      <c r="B5" s="15">
        <v>0.74836999999999998</v>
      </c>
      <c r="C5" s="15">
        <v>0.74939999999999996</v>
      </c>
      <c r="D5" s="13">
        <v>3.5300000000000002E-3</v>
      </c>
      <c r="E5" s="15">
        <f t="shared" si="0"/>
        <v>-3.5300000000000002E-3</v>
      </c>
      <c r="F5" s="15">
        <f t="shared" si="1"/>
        <v>1.0299999999999754E-3</v>
      </c>
      <c r="G5" s="15">
        <f t="shared" si="2"/>
        <v>0.74483999999999995</v>
      </c>
      <c r="H5" s="13" t="s">
        <v>8</v>
      </c>
      <c r="I5" s="16">
        <v>25.759781</v>
      </c>
      <c r="J5" s="18">
        <f t="shared" si="3"/>
        <v>7.0600000000000003E-3</v>
      </c>
      <c r="K5" s="14"/>
    </row>
    <row r="6" spans="1:11" x14ac:dyDescent="0.25">
      <c r="A6" s="12">
        <v>25</v>
      </c>
      <c r="B6" s="15">
        <v>0.68032999999999999</v>
      </c>
      <c r="C6" s="15">
        <v>0.68206</v>
      </c>
      <c r="D6" s="13">
        <v>3.79E-3</v>
      </c>
      <c r="E6" s="15">
        <f t="shared" si="0"/>
        <v>-3.79E-3</v>
      </c>
      <c r="F6" s="15">
        <f t="shared" si="1"/>
        <v>1.7300000000000093E-3</v>
      </c>
      <c r="G6" s="15">
        <f t="shared" si="2"/>
        <v>0.67654000000000003</v>
      </c>
      <c r="H6" s="13" t="s">
        <v>8</v>
      </c>
      <c r="I6" s="16">
        <v>26.604873000000001</v>
      </c>
      <c r="J6" s="18">
        <f t="shared" si="3"/>
        <v>7.5799999999999999E-3</v>
      </c>
      <c r="K6" s="14"/>
    </row>
    <row r="7" spans="1:11" x14ac:dyDescent="0.25">
      <c r="A7" s="12">
        <v>26</v>
      </c>
      <c r="B7" s="15">
        <v>0.60699000000000003</v>
      </c>
      <c r="C7" s="15">
        <v>0.60815999999999992</v>
      </c>
      <c r="D7" s="13">
        <v>3.98E-3</v>
      </c>
      <c r="E7" s="15">
        <f t="shared" si="0"/>
        <v>-3.98E-3</v>
      </c>
      <c r="F7" s="15">
        <f t="shared" si="1"/>
        <v>1.1699999999998933E-3</v>
      </c>
      <c r="G7" s="15">
        <f t="shared" si="2"/>
        <v>0.60301000000000005</v>
      </c>
      <c r="H7" s="13" t="s">
        <v>8</v>
      </c>
      <c r="I7" s="16">
        <v>27.583514000000001</v>
      </c>
      <c r="J7" s="18">
        <f t="shared" si="3"/>
        <v>7.9600000000000001E-3</v>
      </c>
      <c r="K7" s="14"/>
    </row>
    <row r="8" spans="1:11" x14ac:dyDescent="0.25">
      <c r="A8" s="12">
        <v>27</v>
      </c>
      <c r="B8" s="15">
        <v>0.52476</v>
      </c>
      <c r="C8" s="15">
        <v>0.52552999999999994</v>
      </c>
      <c r="D8" s="13">
        <v>4.0699999999999998E-3</v>
      </c>
      <c r="E8" s="15">
        <f t="shared" si="0"/>
        <v>-4.0699999999999998E-3</v>
      </c>
      <c r="F8" s="15">
        <f t="shared" si="1"/>
        <v>7.699999999999374E-4</v>
      </c>
      <c r="G8" s="15">
        <f t="shared" si="2"/>
        <v>0.52068999999999999</v>
      </c>
      <c r="H8" s="13" t="s">
        <v>8</v>
      </c>
      <c r="I8" s="16">
        <v>28.428557999999999</v>
      </c>
      <c r="J8" s="18">
        <f t="shared" si="3"/>
        <v>8.1399999999999997E-3</v>
      </c>
      <c r="K8" s="14"/>
    </row>
    <row r="9" spans="1:11" x14ac:dyDescent="0.25">
      <c r="A9" s="12">
        <v>28</v>
      </c>
      <c r="B9" s="15">
        <v>0.43542000000000003</v>
      </c>
      <c r="C9" s="15">
        <v>0.43589999999999995</v>
      </c>
      <c r="D9" s="13">
        <v>4.0400000000000002E-3</v>
      </c>
      <c r="E9" s="15">
        <f t="shared" si="0"/>
        <v>-4.0400000000000002E-3</v>
      </c>
      <c r="F9" s="15">
        <f t="shared" si="1"/>
        <v>4.7999999999992493E-4</v>
      </c>
      <c r="G9" s="15">
        <f t="shared" si="2"/>
        <v>0.43138000000000004</v>
      </c>
      <c r="H9" s="13" t="s">
        <v>8</v>
      </c>
      <c r="I9" s="16">
        <v>29.270613000000001</v>
      </c>
      <c r="J9" s="18">
        <f t="shared" si="3"/>
        <v>8.0800000000000004E-3</v>
      </c>
      <c r="K9" s="14"/>
    </row>
    <row r="10" spans="1:11" x14ac:dyDescent="0.25">
      <c r="A10" s="12">
        <v>29</v>
      </c>
      <c r="B10" s="15">
        <v>0.34629000000000004</v>
      </c>
      <c r="C10" s="15">
        <v>0.34550999999999998</v>
      </c>
      <c r="D10" s="13">
        <v>3.8700000000000002E-3</v>
      </c>
      <c r="E10" s="15">
        <f t="shared" si="0"/>
        <v>-3.8700000000000002E-3</v>
      </c>
      <c r="F10" s="15">
        <f t="shared" si="1"/>
        <v>-7.8000000000005842E-4</v>
      </c>
      <c r="G10" s="15">
        <f t="shared" si="2"/>
        <v>0.34242000000000006</v>
      </c>
      <c r="H10" s="13" t="s">
        <v>8</v>
      </c>
      <c r="I10" s="16">
        <v>30.199849</v>
      </c>
      <c r="J10" s="18">
        <f t="shared" si="3"/>
        <v>7.7400000000000004E-3</v>
      </c>
      <c r="K10" s="14"/>
    </row>
    <row r="11" spans="1:11" x14ac:dyDescent="0.25">
      <c r="A11" s="12">
        <v>30</v>
      </c>
      <c r="B11" s="15">
        <v>0.26379000000000002</v>
      </c>
      <c r="C11" s="15">
        <v>0.26629000000000003</v>
      </c>
      <c r="D11" s="13">
        <v>3.5999999999999999E-3</v>
      </c>
      <c r="E11" s="15">
        <f t="shared" si="0"/>
        <v>-3.5999999999999999E-3</v>
      </c>
      <c r="F11" s="15">
        <f t="shared" si="1"/>
        <v>2.5000000000000022E-3</v>
      </c>
      <c r="G11" s="15">
        <f t="shared" si="2"/>
        <v>0.26019000000000003</v>
      </c>
      <c r="H11" s="13" t="s">
        <v>8</v>
      </c>
      <c r="I11" s="16">
        <v>31.102370000000001</v>
      </c>
      <c r="J11" s="18">
        <f t="shared" si="3"/>
        <v>7.1999999999999998E-3</v>
      </c>
      <c r="K11" s="14"/>
    </row>
    <row r="12" spans="1:11" x14ac:dyDescent="0.25">
      <c r="A12" s="12">
        <v>31</v>
      </c>
      <c r="B12" s="15">
        <v>0.19400999999999999</v>
      </c>
      <c r="C12" s="15">
        <v>0.19484000000000001</v>
      </c>
      <c r="D12" s="13">
        <v>3.2299999999999998E-3</v>
      </c>
      <c r="E12" s="15">
        <f t="shared" si="0"/>
        <v>-3.2299999999999998E-3</v>
      </c>
      <c r="F12" s="15">
        <f t="shared" si="1"/>
        <v>8.3000000000002516E-4</v>
      </c>
      <c r="G12" s="15">
        <f t="shared" si="2"/>
        <v>0.19077999999999998</v>
      </c>
      <c r="H12" s="13" t="s">
        <v>8</v>
      </c>
      <c r="I12" s="16">
        <v>32.045164999999997</v>
      </c>
      <c r="J12" s="18">
        <f t="shared" si="3"/>
        <v>6.4599999999999996E-3</v>
      </c>
      <c r="K12" s="14"/>
    </row>
    <row r="13" spans="1:11" x14ac:dyDescent="0.25">
      <c r="A13" s="12">
        <v>32</v>
      </c>
      <c r="B13" s="15">
        <v>0.13581000000000001</v>
      </c>
      <c r="C13" s="15">
        <v>0.13566</v>
      </c>
      <c r="D13" s="13">
        <v>2.7899999999999999E-3</v>
      </c>
      <c r="E13" s="15">
        <f t="shared" si="0"/>
        <v>-2.7899999999999999E-3</v>
      </c>
      <c r="F13" s="15">
        <f t="shared" si="1"/>
        <v>-1.5000000000001124E-4</v>
      </c>
      <c r="G13" s="15">
        <f t="shared" si="2"/>
        <v>0.13302000000000003</v>
      </c>
      <c r="H13" s="13" t="s">
        <v>8</v>
      </c>
      <c r="I13" s="16">
        <v>32.909553000000002</v>
      </c>
      <c r="J13" s="18">
        <f t="shared" si="3"/>
        <v>5.5799999999999999E-3</v>
      </c>
      <c r="K13" s="14"/>
    </row>
    <row r="14" spans="1:11" x14ac:dyDescent="0.25">
      <c r="A14" s="12">
        <v>33</v>
      </c>
      <c r="B14" s="15">
        <v>8.6779999999999996E-2</v>
      </c>
      <c r="C14" s="15">
        <v>8.6400000000000005E-2</v>
      </c>
      <c r="D14" s="13">
        <v>2.2899999999999999E-3</v>
      </c>
      <c r="E14" s="15">
        <f t="shared" si="0"/>
        <v>-2.2899999999999999E-3</v>
      </c>
      <c r="F14" s="15">
        <f t="shared" si="1"/>
        <v>-3.7999999999999146E-4</v>
      </c>
      <c r="G14" s="15">
        <f t="shared" si="2"/>
        <v>8.4489999999999996E-2</v>
      </c>
      <c r="H14" s="13" t="s">
        <v>8</v>
      </c>
      <c r="I14" s="16">
        <v>33.797916999999998</v>
      </c>
      <c r="J14" s="18">
        <f t="shared" si="3"/>
        <v>4.5799999999999999E-3</v>
      </c>
      <c r="K14" s="14"/>
    </row>
    <row r="15" spans="1:11" x14ac:dyDescent="0.25">
      <c r="A15" s="12">
        <v>34</v>
      </c>
      <c r="B15" s="15">
        <v>5.262E-2</v>
      </c>
      <c r="C15" s="15">
        <v>5.2760000000000001E-2</v>
      </c>
      <c r="D15" s="13">
        <v>1.82E-3</v>
      </c>
      <c r="E15" s="15">
        <f t="shared" si="0"/>
        <v>-1.82E-3</v>
      </c>
      <c r="F15" s="15">
        <f t="shared" si="1"/>
        <v>1.4000000000000123E-4</v>
      </c>
      <c r="G15" s="15">
        <f t="shared" si="2"/>
        <v>5.0799999999999998E-2</v>
      </c>
      <c r="H15" s="13" t="s">
        <v>8</v>
      </c>
      <c r="I15" s="16">
        <v>34.742418000000001</v>
      </c>
      <c r="J15" s="18">
        <f t="shared" si="3"/>
        <v>3.64E-3</v>
      </c>
      <c r="K15" s="14"/>
    </row>
    <row r="16" spans="1:11" x14ac:dyDescent="0.25">
      <c r="A16" s="12">
        <v>35</v>
      </c>
      <c r="B16" s="15">
        <v>2.8910000000000002E-2</v>
      </c>
      <c r="C16" s="15">
        <v>2.9790000000000001E-2</v>
      </c>
      <c r="D16" s="13">
        <v>1.3799999999999999E-3</v>
      </c>
      <c r="E16" s="15">
        <f t="shared" si="0"/>
        <v>-1.3799999999999999E-3</v>
      </c>
      <c r="F16" s="15">
        <f t="shared" si="1"/>
        <v>8.7999999999999884E-4</v>
      </c>
      <c r="G16" s="15">
        <f t="shared" si="2"/>
        <v>2.7530000000000002E-2</v>
      </c>
      <c r="H16" s="13" t="s">
        <v>8</v>
      </c>
      <c r="I16" s="16">
        <v>35.722389999999997</v>
      </c>
      <c r="J16" s="18">
        <f t="shared" si="3"/>
        <v>2.7599999999999999E-3</v>
      </c>
      <c r="K16" s="14"/>
    </row>
    <row r="17" spans="1:11" x14ac:dyDescent="0.25">
      <c r="A17" s="12">
        <v>36</v>
      </c>
      <c r="B17" s="15">
        <v>1.5679999999999999E-2</v>
      </c>
      <c r="C17" s="15">
        <v>1.5609999999999999E-2</v>
      </c>
      <c r="D17" s="13">
        <v>1.01E-3</v>
      </c>
      <c r="E17" s="15">
        <f t="shared" si="0"/>
        <v>-1.01E-3</v>
      </c>
      <c r="F17" s="15">
        <f t="shared" si="1"/>
        <v>-7.0000000000000617E-5</v>
      </c>
      <c r="G17" s="15">
        <f t="shared" si="2"/>
        <v>1.4669999999999999E-2</v>
      </c>
      <c r="H17" s="13" t="s">
        <v>8</v>
      </c>
      <c r="I17" s="16">
        <v>36.654068000000002</v>
      </c>
      <c r="J17" s="18">
        <f t="shared" si="3"/>
        <v>2.0200000000000001E-3</v>
      </c>
      <c r="K17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5"/>
  <sheetViews>
    <sheetView workbookViewId="0">
      <selection activeCell="H23" sqref="H23"/>
    </sheetView>
  </sheetViews>
  <sheetFormatPr defaultRowHeight="15" x14ac:dyDescent="0.25"/>
  <cols>
    <col min="1" max="16384" width="9.140625" style="6"/>
  </cols>
  <sheetData>
    <row r="2" spans="2:9" ht="15.75" x14ac:dyDescent="0.25">
      <c r="B2" s="4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1"/>
      <c r="H2" s="1"/>
      <c r="I2" s="1"/>
    </row>
    <row r="3" spans="2:9" ht="17.25" x14ac:dyDescent="0.3">
      <c r="B3" s="5">
        <v>21</v>
      </c>
      <c r="C3" s="3">
        <v>0.76366000000000001</v>
      </c>
      <c r="D3" s="3">
        <v>0.75596300000000005</v>
      </c>
      <c r="E3" s="3">
        <v>0.789574</v>
      </c>
      <c r="F3" s="3">
        <v>0.813697</v>
      </c>
      <c r="G3" s="1"/>
      <c r="H3" s="1"/>
      <c r="I3" s="1"/>
    </row>
    <row r="4" spans="2:9" ht="17.25" x14ac:dyDescent="0.3">
      <c r="B4" s="5">
        <v>22</v>
      </c>
      <c r="C4" s="3">
        <v>0.69313400000000003</v>
      </c>
      <c r="D4" s="3">
        <v>0.70461399999999996</v>
      </c>
      <c r="E4" s="3">
        <v>0.789574</v>
      </c>
      <c r="F4" s="3">
        <v>0.74004599999999998</v>
      </c>
      <c r="G4" s="1"/>
      <c r="H4" s="1"/>
      <c r="I4" s="1"/>
    </row>
    <row r="5" spans="2:9" ht="17.25" x14ac:dyDescent="0.3">
      <c r="B5" s="5">
        <v>23</v>
      </c>
      <c r="C5" s="3">
        <v>0.62754299999999996</v>
      </c>
      <c r="D5" s="3">
        <v>0.62558000000000002</v>
      </c>
      <c r="E5" s="3">
        <v>0.789574</v>
      </c>
      <c r="F5" s="3">
        <v>0.65435100000000002</v>
      </c>
      <c r="G5" s="1"/>
      <c r="H5" s="1"/>
      <c r="I5" s="1"/>
    </row>
    <row r="6" spans="2:9" ht="17.25" x14ac:dyDescent="0.3">
      <c r="B6" s="5">
        <v>24</v>
      </c>
      <c r="C6" s="3">
        <v>0.55959999999999999</v>
      </c>
      <c r="D6" s="3">
        <v>0.55907200000000001</v>
      </c>
      <c r="E6" s="3">
        <v>0.789574</v>
      </c>
      <c r="F6" s="3">
        <v>0.55627400000000005</v>
      </c>
      <c r="G6" s="1"/>
      <c r="H6" s="1"/>
      <c r="I6" s="1"/>
    </row>
    <row r="7" spans="2:9" ht="17.25" x14ac:dyDescent="0.3">
      <c r="B7" s="5">
        <v>25</v>
      </c>
      <c r="C7" s="3">
        <v>0.493174</v>
      </c>
      <c r="D7" s="3">
        <v>0.46597499999999997</v>
      </c>
      <c r="E7" s="3">
        <v>0.789574</v>
      </c>
      <c r="F7" s="3">
        <v>0.45592100000000002</v>
      </c>
      <c r="G7" s="1"/>
      <c r="H7" s="1"/>
      <c r="I7" s="1"/>
    </row>
    <row r="8" spans="2:9" ht="17.25" x14ac:dyDescent="0.3">
      <c r="B8" s="5">
        <v>26</v>
      </c>
      <c r="C8" s="3">
        <v>0.40240999999999999</v>
      </c>
      <c r="D8" s="3">
        <v>0.383241</v>
      </c>
      <c r="E8" s="3">
        <v>0.775285</v>
      </c>
      <c r="F8" s="3">
        <v>0.361377</v>
      </c>
      <c r="G8" s="1"/>
      <c r="H8" s="1"/>
      <c r="I8" s="1"/>
    </row>
    <row r="9" spans="2:9" ht="17.25" x14ac:dyDescent="0.3">
      <c r="B9" s="5">
        <v>27</v>
      </c>
      <c r="C9" s="3">
        <v>0.31638500000000003</v>
      </c>
      <c r="D9" s="3">
        <v>0.32027699999999998</v>
      </c>
      <c r="E9" s="3">
        <v>0.76644400000000001</v>
      </c>
      <c r="F9" s="3">
        <v>0.27351399999999998</v>
      </c>
      <c r="G9" s="1"/>
      <c r="H9" s="1"/>
      <c r="I9" s="1"/>
    </row>
    <row r="10" spans="2:9" ht="17.25" x14ac:dyDescent="0.3">
      <c r="B10" s="5">
        <v>28</v>
      </c>
      <c r="C10" s="3">
        <v>0.23111899999999999</v>
      </c>
      <c r="D10" s="3">
        <v>0.237208</v>
      </c>
      <c r="E10" s="3">
        <v>0.74249200000000004</v>
      </c>
      <c r="F10" s="3">
        <v>0.19637399999999999</v>
      </c>
      <c r="G10" s="1"/>
      <c r="H10" s="1"/>
      <c r="I10" s="1"/>
    </row>
    <row r="11" spans="2:9" ht="17.25" x14ac:dyDescent="0.3">
      <c r="B11" s="5">
        <v>29</v>
      </c>
      <c r="C11" s="3">
        <v>0.173231</v>
      </c>
      <c r="D11" s="3">
        <v>0.18321000000000001</v>
      </c>
      <c r="E11" s="3">
        <v>0.69660999999999995</v>
      </c>
      <c r="F11" s="3">
        <v>0.13136300000000001</v>
      </c>
      <c r="G11" s="1"/>
      <c r="H11" s="1"/>
      <c r="I11" s="1"/>
    </row>
    <row r="12" spans="2:9" ht="17.25" x14ac:dyDescent="0.3">
      <c r="B12" s="5">
        <v>30</v>
      </c>
      <c r="C12" s="3">
        <v>0.129416</v>
      </c>
      <c r="D12" s="3">
        <v>0.120988</v>
      </c>
      <c r="E12" s="3">
        <v>0.61041999999999996</v>
      </c>
      <c r="F12" s="3">
        <v>8.3409999999999998E-2</v>
      </c>
      <c r="G12" s="1"/>
      <c r="H12" s="1"/>
      <c r="I12" s="1"/>
    </row>
    <row r="13" spans="2:9" ht="17.25" x14ac:dyDescent="0.3">
      <c r="B13" s="5">
        <v>31</v>
      </c>
      <c r="C13" s="3">
        <v>8.0671999999999994E-2</v>
      </c>
      <c r="D13" s="3">
        <v>7.9361000000000001E-2</v>
      </c>
      <c r="E13" s="3">
        <v>0.52351800000000004</v>
      </c>
      <c r="F13" s="3">
        <v>5.1748000000000002E-2</v>
      </c>
      <c r="G13" s="1"/>
      <c r="H13" s="1"/>
      <c r="I13" s="1"/>
    </row>
    <row r="14" spans="2:9" ht="17.25" x14ac:dyDescent="0.3">
      <c r="B14" s="5">
        <v>32</v>
      </c>
      <c r="C14" s="3">
        <v>4.5449000000000003E-2</v>
      </c>
      <c r="D14" s="3">
        <v>5.6813000000000002E-2</v>
      </c>
      <c r="E14" s="3">
        <v>0.424649</v>
      </c>
      <c r="F14" s="3">
        <v>2.9661E-2</v>
      </c>
      <c r="G14" s="1"/>
      <c r="H14" s="1"/>
      <c r="I14" s="1"/>
    </row>
    <row r="15" spans="2:9" ht="17.25" x14ac:dyDescent="0.3">
      <c r="B15" s="5">
        <v>33</v>
      </c>
      <c r="C15" s="3">
        <v>2.2072000000000001E-2</v>
      </c>
      <c r="D15" s="3">
        <v>3.0518E-2</v>
      </c>
      <c r="E15" s="3">
        <v>0.30838500000000002</v>
      </c>
      <c r="F15" s="3">
        <v>1.6152E-2</v>
      </c>
      <c r="G15" s="1"/>
      <c r="H15" s="1"/>
      <c r="I15" s="1"/>
    </row>
    <row r="16" spans="2:9" ht="17.25" x14ac:dyDescent="0.3">
      <c r="B16" s="5">
        <v>34</v>
      </c>
      <c r="C16" s="3">
        <v>1.4508E-2</v>
      </c>
      <c r="D16" s="3">
        <v>2.0621E-2</v>
      </c>
      <c r="E16" s="3">
        <v>0.21568999999999999</v>
      </c>
      <c r="F16" s="3">
        <v>7.7869999999999997E-3</v>
      </c>
      <c r="G16" s="1"/>
      <c r="H16" s="1"/>
      <c r="I16" s="1"/>
    </row>
    <row r="17" spans="2:12" ht="17.25" x14ac:dyDescent="0.3">
      <c r="B17" s="5">
        <v>35</v>
      </c>
      <c r="C17" s="3">
        <v>7.9139999999999992E-3</v>
      </c>
      <c r="D17" s="3">
        <v>8.6269999999999993E-3</v>
      </c>
      <c r="E17" s="3">
        <v>0.12981699999999999</v>
      </c>
      <c r="F17" s="3">
        <v>3.5079999999999998E-3</v>
      </c>
      <c r="G17" s="1"/>
      <c r="H17" s="1"/>
      <c r="I17" s="1"/>
    </row>
    <row r="18" spans="2:12" ht="17.25" x14ac:dyDescent="0.3">
      <c r="B18" s="5">
        <v>36</v>
      </c>
      <c r="C18" s="3">
        <v>1.5089999999999999E-3</v>
      </c>
      <c r="D18" s="3">
        <v>4.5729999999999998E-3</v>
      </c>
      <c r="E18" s="3">
        <v>7.7687000000000006E-2</v>
      </c>
      <c r="F18" s="3">
        <v>1.5020000000000001E-3</v>
      </c>
      <c r="G18" s="1"/>
      <c r="H18" s="1"/>
      <c r="I18" s="1"/>
    </row>
    <row r="19" spans="2:12" ht="15.75" x14ac:dyDescent="0.25">
      <c r="B19" s="4"/>
      <c r="C19" s="2"/>
      <c r="D19" s="2"/>
      <c r="E19" s="2"/>
      <c r="F19" s="2"/>
      <c r="G19" s="1"/>
      <c r="H19" s="1"/>
      <c r="I19" s="1"/>
    </row>
    <row r="20" spans="2:12" ht="15.75" x14ac:dyDescent="0.25">
      <c r="B20" s="4"/>
      <c r="C20" s="2"/>
      <c r="D20" s="2"/>
      <c r="E20" s="2"/>
      <c r="F20" s="2"/>
      <c r="G20" s="1"/>
      <c r="H20" s="1"/>
      <c r="I20" s="1"/>
      <c r="L20" s="7"/>
    </row>
    <row r="21" spans="2:12" ht="15.75" x14ac:dyDescent="0.25">
      <c r="B21" s="4"/>
      <c r="C21" s="2"/>
      <c r="D21" s="2"/>
      <c r="E21" s="2"/>
      <c r="F21" s="2"/>
      <c r="G21" s="1"/>
      <c r="H21" s="1"/>
      <c r="I21" s="1"/>
    </row>
    <row r="22" spans="2:12" ht="15.75" x14ac:dyDescent="0.25">
      <c r="B22" s="4"/>
      <c r="C22" s="2"/>
      <c r="D22" s="2"/>
      <c r="E22" s="2"/>
      <c r="F22" s="2"/>
      <c r="G22" s="1"/>
      <c r="H22" s="1"/>
      <c r="I22" s="1"/>
    </row>
    <row r="23" spans="2:12" ht="15.75" x14ac:dyDescent="0.25">
      <c r="B23" s="4"/>
      <c r="C23" s="2"/>
      <c r="D23" s="2"/>
      <c r="E23" s="2"/>
      <c r="F23" s="2"/>
      <c r="G23" s="1"/>
      <c r="H23" s="1"/>
      <c r="I23" s="1"/>
    </row>
    <row r="24" spans="2:12" ht="15.75" x14ac:dyDescent="0.25">
      <c r="B24" s="4"/>
      <c r="C24" s="2"/>
      <c r="D24" s="2"/>
      <c r="E24" s="2"/>
      <c r="F24" s="2"/>
      <c r="G24" s="1"/>
      <c r="H24" s="1"/>
      <c r="I24" s="1"/>
    </row>
    <row r="25" spans="2:12" ht="15.75" x14ac:dyDescent="0.25">
      <c r="B25" s="4"/>
      <c r="C25" s="2"/>
      <c r="D25" s="2"/>
      <c r="E25" s="2"/>
      <c r="F25" s="2"/>
      <c r="G25" s="1"/>
      <c r="H25" s="1"/>
      <c r="I25" s="1"/>
    </row>
  </sheetData>
  <conditionalFormatting sqref="C3:F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4"/>
  <sheetViews>
    <sheetView tabSelected="1" workbookViewId="0">
      <selection activeCell="M41" sqref="M41"/>
    </sheetView>
  </sheetViews>
  <sheetFormatPr defaultRowHeight="15" x14ac:dyDescent="0.25"/>
  <cols>
    <col min="1" max="1" width="10.140625" style="10" bestFit="1" customWidth="1"/>
    <col min="2" max="2" width="8.85546875" style="11" customWidth="1"/>
    <col min="3" max="3" width="14.7109375" style="17" bestFit="1" customWidth="1"/>
    <col min="4" max="4" width="24.5703125" bestFit="1" customWidth="1"/>
    <col min="6" max="7" width="24.5703125" style="9" customWidth="1"/>
  </cols>
  <sheetData>
    <row r="2" spans="1:8" x14ac:dyDescent="0.25">
      <c r="A2" s="10" t="s">
        <v>5</v>
      </c>
      <c r="B2" s="11" t="s">
        <v>17</v>
      </c>
      <c r="C2" s="17" t="s">
        <v>16</v>
      </c>
      <c r="D2" s="17" t="s">
        <v>18</v>
      </c>
      <c r="E2" s="17" t="s">
        <v>7</v>
      </c>
      <c r="F2" s="17" t="str">
        <f>"+SD"</f>
        <v>+SD</v>
      </c>
      <c r="G2" s="17" t="str">
        <f>"-SD"</f>
        <v>-SD</v>
      </c>
    </row>
    <row r="4" spans="1:8" x14ac:dyDescent="0.25">
      <c r="A4" s="10">
        <v>0</v>
      </c>
      <c r="B4" s="11">
        <v>0.89100000000000001</v>
      </c>
      <c r="C4" s="17">
        <v>20.541779999999999</v>
      </c>
      <c r="D4">
        <v>23.044919</v>
      </c>
      <c r="E4" s="9">
        <v>2.3979689999999998</v>
      </c>
      <c r="F4" s="9">
        <f>D4-E4</f>
        <v>20.64695</v>
      </c>
      <c r="G4" s="9">
        <f>E4*2</f>
        <v>4.7959379999999996</v>
      </c>
      <c r="H4">
        <f>(D4-21)/15</f>
        <v>0.13632793333333335</v>
      </c>
    </row>
    <row r="5" spans="1:8" x14ac:dyDescent="0.25">
      <c r="A5" s="10">
        <v>0.01</v>
      </c>
      <c r="B5" s="11">
        <v>0.89300000000000002</v>
      </c>
      <c r="C5" s="17">
        <v>21.179390000000001</v>
      </c>
      <c r="D5">
        <v>23.718450000000001</v>
      </c>
      <c r="E5" s="9">
        <v>2.5007090000000001</v>
      </c>
      <c r="F5" s="9">
        <f>D5-E5</f>
        <v>21.217741</v>
      </c>
      <c r="G5" s="9">
        <f t="shared" ref="G5:G68" si="0">E5*2</f>
        <v>5.0014180000000001</v>
      </c>
      <c r="H5" s="9">
        <f t="shared" ref="H5:H68" si="1">(D5-21)/15</f>
        <v>0.18123000000000006</v>
      </c>
    </row>
    <row r="6" spans="1:8" x14ac:dyDescent="0.25">
      <c r="A6" s="10">
        <v>0.02</v>
      </c>
      <c r="B6" s="11">
        <v>0.89300000000000002</v>
      </c>
      <c r="C6" s="17">
        <v>21.220870000000001</v>
      </c>
      <c r="D6">
        <v>23.763838</v>
      </c>
      <c r="E6" s="9">
        <v>2.5073439999999998</v>
      </c>
      <c r="F6" s="9">
        <f>D6-E6</f>
        <v>21.256494</v>
      </c>
      <c r="G6" s="9">
        <f t="shared" si="0"/>
        <v>5.0146879999999996</v>
      </c>
      <c r="H6" s="9">
        <f t="shared" si="1"/>
        <v>0.18425586666666666</v>
      </c>
    </row>
    <row r="7" spans="1:8" x14ac:dyDescent="0.25">
      <c r="A7" s="10">
        <v>0.03</v>
      </c>
      <c r="B7" s="11">
        <v>0.89200000000000002</v>
      </c>
      <c r="C7" s="17">
        <v>21.1873</v>
      </c>
      <c r="D7">
        <v>23.7651</v>
      </c>
      <c r="E7" s="9">
        <v>2.516556</v>
      </c>
      <c r="F7" s="9">
        <f>D7-E7</f>
        <v>21.248543999999999</v>
      </c>
      <c r="G7" s="9">
        <f t="shared" si="0"/>
        <v>5.033112</v>
      </c>
      <c r="H7" s="9">
        <f t="shared" si="1"/>
        <v>0.18434000000000003</v>
      </c>
    </row>
    <row r="8" spans="1:8" x14ac:dyDescent="0.25">
      <c r="A8" s="10">
        <v>0.04</v>
      </c>
      <c r="B8" s="11">
        <v>0.88800000000000001</v>
      </c>
      <c r="C8" s="17">
        <v>21.594259999999998</v>
      </c>
      <c r="D8">
        <v>24.327175</v>
      </c>
      <c r="E8" s="9">
        <v>2.9534959999999999</v>
      </c>
      <c r="F8" s="9">
        <f>D8-E8</f>
        <v>21.373678999999999</v>
      </c>
      <c r="G8" s="9">
        <f t="shared" si="0"/>
        <v>5.9069919999999998</v>
      </c>
      <c r="H8" s="9">
        <f t="shared" si="1"/>
        <v>0.22181166666666668</v>
      </c>
    </row>
    <row r="9" spans="1:8" x14ac:dyDescent="0.25">
      <c r="A9" s="10">
        <v>0.05</v>
      </c>
      <c r="B9" s="11">
        <v>0.88700000000000001</v>
      </c>
      <c r="C9" s="17">
        <v>21.572299999999998</v>
      </c>
      <c r="D9">
        <v>24.317777</v>
      </c>
      <c r="E9" s="9">
        <v>2.9431080000000001</v>
      </c>
      <c r="F9" s="9">
        <f>D9-E9</f>
        <v>21.374669000000001</v>
      </c>
      <c r="G9" s="9">
        <f t="shared" si="0"/>
        <v>5.8862160000000001</v>
      </c>
      <c r="H9" s="9">
        <f t="shared" si="1"/>
        <v>0.22118513333333331</v>
      </c>
    </row>
    <row r="10" spans="1:8" x14ac:dyDescent="0.25">
      <c r="A10" s="10">
        <v>0.06</v>
      </c>
      <c r="B10" s="11">
        <v>0.88800000000000001</v>
      </c>
      <c r="C10" s="17">
        <v>21.629149999999999</v>
      </c>
      <c r="D10">
        <v>24.348376999999999</v>
      </c>
      <c r="E10" s="9">
        <v>2.949392</v>
      </c>
      <c r="F10" s="9">
        <f>D10-E10</f>
        <v>21.398985</v>
      </c>
      <c r="G10" s="9">
        <f t="shared" si="0"/>
        <v>5.898784</v>
      </c>
      <c r="H10" s="9">
        <f t="shared" si="1"/>
        <v>0.2232251333333333</v>
      </c>
    </row>
    <row r="11" spans="1:8" x14ac:dyDescent="0.25">
      <c r="A11" s="10">
        <v>7.0000000000000007E-2</v>
      </c>
      <c r="B11" s="11">
        <v>0.88900000000000001</v>
      </c>
      <c r="C11" s="17">
        <v>21.648160000000001</v>
      </c>
      <c r="D11">
        <v>24.347850000000001</v>
      </c>
      <c r="E11" s="9">
        <v>2.9527299999999999</v>
      </c>
      <c r="F11" s="9">
        <f>D11-E11</f>
        <v>21.395120000000002</v>
      </c>
      <c r="G11" s="9">
        <f t="shared" si="0"/>
        <v>5.9054599999999997</v>
      </c>
      <c r="H11" s="9">
        <f t="shared" si="1"/>
        <v>0.22319000000000008</v>
      </c>
    </row>
    <row r="12" spans="1:8" x14ac:dyDescent="0.25">
      <c r="A12" s="10">
        <v>0.08</v>
      </c>
      <c r="B12" s="11">
        <v>0.88900000000000001</v>
      </c>
      <c r="C12" s="17">
        <v>21.634609999999999</v>
      </c>
      <c r="D12">
        <v>24.332062000000001</v>
      </c>
      <c r="E12" s="9">
        <v>2.9502950000000001</v>
      </c>
      <c r="F12" s="9">
        <f>D12-E12</f>
        <v>21.381767</v>
      </c>
      <c r="G12" s="9">
        <f t="shared" si="0"/>
        <v>5.9005900000000002</v>
      </c>
      <c r="H12" s="9">
        <f t="shared" si="1"/>
        <v>0.2221374666666667</v>
      </c>
    </row>
    <row r="13" spans="1:8" x14ac:dyDescent="0.25">
      <c r="A13" s="10">
        <v>0.09</v>
      </c>
      <c r="B13" s="11">
        <v>0.88700000000000001</v>
      </c>
      <c r="C13" s="17">
        <v>21.586300000000001</v>
      </c>
      <c r="D13">
        <v>24.333010000000002</v>
      </c>
      <c r="E13" s="9">
        <v>2.9529909999999999</v>
      </c>
      <c r="F13" s="9">
        <f>D13-E13</f>
        <v>21.380019000000001</v>
      </c>
      <c r="G13" s="9">
        <f t="shared" si="0"/>
        <v>5.9059819999999998</v>
      </c>
      <c r="H13" s="9">
        <f t="shared" si="1"/>
        <v>0.22220066666666677</v>
      </c>
    </row>
    <row r="14" spans="1:8" x14ac:dyDescent="0.25">
      <c r="A14" s="10">
        <v>0.1</v>
      </c>
      <c r="B14" s="11">
        <v>0.88700000000000001</v>
      </c>
      <c r="C14" s="17">
        <v>21.60783</v>
      </c>
      <c r="D14">
        <v>24.357279999999999</v>
      </c>
      <c r="E14" s="9">
        <v>2.964483</v>
      </c>
      <c r="F14" s="9">
        <f>D14-E14</f>
        <v>21.392796999999998</v>
      </c>
      <c r="G14" s="9">
        <f t="shared" si="0"/>
        <v>5.928966</v>
      </c>
      <c r="H14" s="9">
        <f t="shared" si="1"/>
        <v>0.22381866666666664</v>
      </c>
    </row>
    <row r="15" spans="1:8" x14ac:dyDescent="0.25">
      <c r="A15" s="10">
        <v>0.11</v>
      </c>
      <c r="B15" s="11">
        <v>0.88800000000000001</v>
      </c>
      <c r="C15" s="17">
        <v>21.582619999999999</v>
      </c>
      <c r="D15">
        <v>24.314336000000001</v>
      </c>
      <c r="E15" s="9">
        <v>2.938717</v>
      </c>
      <c r="F15" s="9">
        <f>D15-E15</f>
        <v>21.375619</v>
      </c>
      <c r="G15" s="9">
        <f t="shared" si="0"/>
        <v>5.877434</v>
      </c>
      <c r="H15" s="9">
        <f t="shared" si="1"/>
        <v>0.22095573333333338</v>
      </c>
    </row>
    <row r="16" spans="1:8" x14ac:dyDescent="0.25">
      <c r="A16" s="10">
        <v>0.12</v>
      </c>
      <c r="B16" s="11">
        <v>0.88400000000000001</v>
      </c>
      <c r="C16" s="17">
        <v>21.605899999999998</v>
      </c>
      <c r="D16">
        <v>24.443275</v>
      </c>
      <c r="E16" s="9">
        <v>3.1371880000000001</v>
      </c>
      <c r="F16" s="9">
        <f>D16-E16</f>
        <v>21.306086999999998</v>
      </c>
      <c r="G16" s="9">
        <f t="shared" si="0"/>
        <v>6.2743760000000002</v>
      </c>
      <c r="H16" s="9">
        <f t="shared" si="1"/>
        <v>0.22955166666666665</v>
      </c>
    </row>
    <row r="17" spans="1:8" x14ac:dyDescent="0.25">
      <c r="A17" s="10">
        <v>0.13</v>
      </c>
      <c r="B17" s="11">
        <v>0.84699999999999998</v>
      </c>
      <c r="C17" s="17">
        <v>21.544509999999999</v>
      </c>
      <c r="D17">
        <v>25.426651</v>
      </c>
      <c r="E17" s="9">
        <v>3.0927060000000002</v>
      </c>
      <c r="F17" s="9">
        <f>D17-E17</f>
        <v>22.333945</v>
      </c>
      <c r="G17" s="9">
        <f t="shared" si="0"/>
        <v>6.1854120000000004</v>
      </c>
      <c r="H17" s="9">
        <f t="shared" si="1"/>
        <v>0.29511006666666667</v>
      </c>
    </row>
    <row r="18" spans="1:8" x14ac:dyDescent="0.25">
      <c r="A18" s="10">
        <v>0.14000000000000001</v>
      </c>
      <c r="B18" s="11">
        <v>0.85</v>
      </c>
      <c r="C18" s="17">
        <v>21.60427</v>
      </c>
      <c r="D18">
        <v>25.429352999999999</v>
      </c>
      <c r="E18" s="9">
        <v>3.0830060000000001</v>
      </c>
      <c r="F18" s="9">
        <f>D18-E18</f>
        <v>22.346346999999998</v>
      </c>
      <c r="G18" s="9">
        <f t="shared" si="0"/>
        <v>6.1660120000000003</v>
      </c>
      <c r="H18" s="9">
        <f t="shared" si="1"/>
        <v>0.29529019999999995</v>
      </c>
    </row>
    <row r="19" spans="1:8" x14ac:dyDescent="0.25">
      <c r="A19" s="10">
        <v>0.15</v>
      </c>
      <c r="B19" s="11">
        <v>0.85099999999999998</v>
      </c>
      <c r="C19" s="17">
        <v>21.652259999999998</v>
      </c>
      <c r="D19">
        <v>25.451388999999999</v>
      </c>
      <c r="E19" s="9">
        <v>3.0961029999999998</v>
      </c>
      <c r="F19" s="9">
        <f>D19-E19</f>
        <v>22.355286</v>
      </c>
      <c r="G19" s="9">
        <f t="shared" si="0"/>
        <v>6.1922059999999997</v>
      </c>
      <c r="H19" s="9">
        <f t="shared" si="1"/>
        <v>0.29675926666666658</v>
      </c>
    </row>
    <row r="20" spans="1:8" x14ac:dyDescent="0.25">
      <c r="A20" s="10">
        <v>0.16</v>
      </c>
      <c r="B20" s="11">
        <v>0.85099999999999998</v>
      </c>
      <c r="C20" s="17">
        <v>21.624649999999999</v>
      </c>
      <c r="D20">
        <v>25.424911999999999</v>
      </c>
      <c r="E20" s="9">
        <v>3.0871200000000001</v>
      </c>
      <c r="F20" s="9">
        <f>D20-E20</f>
        <v>22.337792</v>
      </c>
      <c r="G20" s="9">
        <f t="shared" si="0"/>
        <v>6.1742400000000002</v>
      </c>
      <c r="H20" s="9">
        <f t="shared" si="1"/>
        <v>0.2949941333333333</v>
      </c>
    </row>
    <row r="21" spans="1:8" x14ac:dyDescent="0.25">
      <c r="A21" s="10">
        <v>0.17</v>
      </c>
      <c r="B21" s="11">
        <v>0.84899999999999998</v>
      </c>
      <c r="C21" s="17">
        <v>21.59329</v>
      </c>
      <c r="D21">
        <v>25.429300000000001</v>
      </c>
      <c r="E21" s="9">
        <v>3.0940590000000001</v>
      </c>
      <c r="F21" s="9">
        <f>D21-E21</f>
        <v>22.335241</v>
      </c>
      <c r="G21" s="9">
        <f t="shared" si="0"/>
        <v>6.1881180000000002</v>
      </c>
      <c r="H21" s="9">
        <f t="shared" si="1"/>
        <v>0.29528666666666675</v>
      </c>
    </row>
    <row r="22" spans="1:8" x14ac:dyDescent="0.25">
      <c r="A22" s="10">
        <v>0.18</v>
      </c>
      <c r="B22" s="11">
        <v>0.85</v>
      </c>
      <c r="C22" s="17">
        <v>21.593139999999998</v>
      </c>
      <c r="D22">
        <v>25.416253000000001</v>
      </c>
      <c r="E22" s="9">
        <v>3.0696720000000002</v>
      </c>
      <c r="F22" s="9">
        <f>D22-E22</f>
        <v>22.346581</v>
      </c>
      <c r="G22" s="9">
        <f t="shared" si="0"/>
        <v>6.1393440000000004</v>
      </c>
      <c r="H22" s="9">
        <f t="shared" si="1"/>
        <v>0.29441686666666672</v>
      </c>
    </row>
    <row r="23" spans="1:8" x14ac:dyDescent="0.25">
      <c r="A23" s="10">
        <v>0.19</v>
      </c>
      <c r="B23" s="11">
        <v>0.84799999999999998</v>
      </c>
      <c r="C23" s="17">
        <v>21.59807</v>
      </c>
      <c r="D23">
        <v>25.469422000000002</v>
      </c>
      <c r="E23" s="9">
        <v>3.089191</v>
      </c>
      <c r="F23" s="9">
        <f>D23-E23</f>
        <v>22.380231000000002</v>
      </c>
      <c r="G23" s="9">
        <f t="shared" si="0"/>
        <v>6.178382</v>
      </c>
      <c r="H23" s="9">
        <f t="shared" si="1"/>
        <v>0.29796146666666679</v>
      </c>
    </row>
    <row r="24" spans="1:8" x14ac:dyDescent="0.25">
      <c r="A24" s="10">
        <v>0.2</v>
      </c>
      <c r="B24" s="11">
        <v>0.84899999999999998</v>
      </c>
      <c r="C24" s="17">
        <v>21.606490000000001</v>
      </c>
      <c r="D24">
        <v>25.458335999999999</v>
      </c>
      <c r="E24" s="9">
        <v>3.0922809999999998</v>
      </c>
      <c r="F24" s="9">
        <f>D24-E24</f>
        <v>22.366054999999999</v>
      </c>
      <c r="G24" s="9">
        <f t="shared" si="0"/>
        <v>6.1845619999999997</v>
      </c>
      <c r="H24" s="9">
        <f t="shared" si="1"/>
        <v>0.29722239999999994</v>
      </c>
    </row>
    <row r="25" spans="1:8" x14ac:dyDescent="0.25">
      <c r="A25" s="10">
        <v>0.21</v>
      </c>
      <c r="B25" s="11">
        <v>0.84699999999999998</v>
      </c>
      <c r="C25" s="17">
        <v>21.584009999999999</v>
      </c>
      <c r="D25">
        <v>25.489813999999999</v>
      </c>
      <c r="E25" s="9">
        <v>3.092571</v>
      </c>
      <c r="F25" s="9">
        <f>D25-E25</f>
        <v>22.397243</v>
      </c>
      <c r="G25" s="9">
        <f t="shared" si="0"/>
        <v>6.1851419999999999</v>
      </c>
      <c r="H25" s="9">
        <f t="shared" si="1"/>
        <v>0.29932093333333326</v>
      </c>
    </row>
    <row r="26" spans="1:8" x14ac:dyDescent="0.25">
      <c r="A26" s="10">
        <v>0.22</v>
      </c>
      <c r="B26" s="11">
        <v>0.84799999999999998</v>
      </c>
      <c r="C26" s="17">
        <v>21.686109999999999</v>
      </c>
      <c r="D26">
        <v>25.579577</v>
      </c>
      <c r="E26" s="9">
        <v>3.127513</v>
      </c>
      <c r="F26" s="9">
        <f>D26-E26</f>
        <v>22.452064</v>
      </c>
      <c r="G26" s="9">
        <f t="shared" si="0"/>
        <v>6.255026</v>
      </c>
      <c r="H26" s="9">
        <f t="shared" si="1"/>
        <v>0.30530513333333337</v>
      </c>
    </row>
    <row r="27" spans="1:8" x14ac:dyDescent="0.25">
      <c r="A27" s="10">
        <v>0.23</v>
      </c>
      <c r="B27" s="11">
        <v>0.84499999999999997</v>
      </c>
      <c r="C27" s="17">
        <v>21.61872</v>
      </c>
      <c r="D27">
        <v>25.576111999999998</v>
      </c>
      <c r="E27" s="9">
        <v>3.131291</v>
      </c>
      <c r="F27" s="9">
        <f>D27-E27</f>
        <v>22.444820999999997</v>
      </c>
      <c r="G27" s="9">
        <f t="shared" si="0"/>
        <v>6.2625820000000001</v>
      </c>
      <c r="H27" s="9">
        <f t="shared" si="1"/>
        <v>0.30507413333333322</v>
      </c>
    </row>
    <row r="28" spans="1:8" x14ac:dyDescent="0.25">
      <c r="A28" s="10">
        <v>0.24</v>
      </c>
      <c r="B28" s="11">
        <v>0.84399999999999997</v>
      </c>
      <c r="C28" s="17">
        <v>21.590009999999999</v>
      </c>
      <c r="D28">
        <v>25.576338</v>
      </c>
      <c r="E28" s="9">
        <v>3.1194609999999998</v>
      </c>
      <c r="F28" s="9">
        <f>D28-E28</f>
        <v>22.456876999999999</v>
      </c>
      <c r="G28" s="9">
        <f t="shared" si="0"/>
        <v>6.2389219999999996</v>
      </c>
      <c r="H28" s="9">
        <f t="shared" si="1"/>
        <v>0.3050892</v>
      </c>
    </row>
    <row r="29" spans="1:8" x14ac:dyDescent="0.25">
      <c r="A29" s="10">
        <v>0.25</v>
      </c>
      <c r="B29" s="11">
        <v>0.78200000000000003</v>
      </c>
      <c r="C29" s="17">
        <v>20.54926</v>
      </c>
      <c r="D29">
        <v>26.286902000000001</v>
      </c>
      <c r="E29" s="9">
        <v>3.541331</v>
      </c>
      <c r="F29" s="9">
        <f>D29-E29</f>
        <v>22.745571000000002</v>
      </c>
      <c r="G29" s="9">
        <f t="shared" si="0"/>
        <v>7.082662</v>
      </c>
      <c r="H29" s="9">
        <f t="shared" si="1"/>
        <v>0.35246013333333343</v>
      </c>
    </row>
    <row r="30" spans="1:8" x14ac:dyDescent="0.25">
      <c r="A30" s="10">
        <v>0.26</v>
      </c>
      <c r="B30" s="11">
        <v>0.78300000000000003</v>
      </c>
      <c r="C30" s="17">
        <v>20.588979999999999</v>
      </c>
      <c r="D30">
        <v>26.299696000000001</v>
      </c>
      <c r="E30" s="9">
        <v>3.534796</v>
      </c>
      <c r="F30" s="9">
        <f>D30-E30</f>
        <v>22.764900000000001</v>
      </c>
      <c r="G30" s="9">
        <f t="shared" si="0"/>
        <v>7.0695920000000001</v>
      </c>
      <c r="H30" s="9">
        <f t="shared" si="1"/>
        <v>0.35331306666666673</v>
      </c>
    </row>
    <row r="31" spans="1:8" x14ac:dyDescent="0.25">
      <c r="A31" s="10">
        <v>0.27</v>
      </c>
      <c r="B31" s="11">
        <v>0.78300000000000003</v>
      </c>
      <c r="C31" s="17">
        <v>20.579550000000001</v>
      </c>
      <c r="D31">
        <v>26.292016</v>
      </c>
      <c r="E31" s="9">
        <v>3.5354290000000002</v>
      </c>
      <c r="F31" s="9">
        <f>D31-E31</f>
        <v>22.756587</v>
      </c>
      <c r="G31" s="9">
        <f t="shared" si="0"/>
        <v>7.0708580000000003</v>
      </c>
      <c r="H31" s="9">
        <f t="shared" si="1"/>
        <v>0.35280106666666666</v>
      </c>
    </row>
    <row r="32" spans="1:8" x14ac:dyDescent="0.25">
      <c r="A32" s="10">
        <v>0.28000000000000003</v>
      </c>
      <c r="B32" s="11">
        <v>0.78100000000000003</v>
      </c>
      <c r="C32" s="17">
        <v>20.540849999999999</v>
      </c>
      <c r="D32">
        <v>26.301041000000001</v>
      </c>
      <c r="E32" s="9">
        <v>3.532254</v>
      </c>
      <c r="F32" s="9">
        <f>D32-E32</f>
        <v>22.768787000000003</v>
      </c>
      <c r="G32" s="9">
        <f t="shared" si="0"/>
        <v>7.064508</v>
      </c>
      <c r="H32" s="9">
        <f t="shared" si="1"/>
        <v>0.35340273333333344</v>
      </c>
    </row>
    <row r="33" spans="1:8" x14ac:dyDescent="0.25">
      <c r="A33" s="10">
        <v>0.28999999999999998</v>
      </c>
      <c r="B33" s="11">
        <v>0.78200000000000003</v>
      </c>
      <c r="C33" s="17">
        <v>20.557089999999999</v>
      </c>
      <c r="D33">
        <v>26.296918000000002</v>
      </c>
      <c r="E33" s="9">
        <v>3.513239</v>
      </c>
      <c r="F33" s="9">
        <f>D33-E33</f>
        <v>22.783679000000003</v>
      </c>
      <c r="G33" s="9">
        <f t="shared" si="0"/>
        <v>7.026478</v>
      </c>
      <c r="H33" s="9">
        <f t="shared" si="1"/>
        <v>0.35312786666666679</v>
      </c>
    </row>
    <row r="34" spans="1:8" x14ac:dyDescent="0.25">
      <c r="A34" s="10">
        <v>0.3</v>
      </c>
      <c r="B34" s="11">
        <v>0.76400000000000001</v>
      </c>
      <c r="C34" s="17">
        <v>20.312239999999999</v>
      </c>
      <c r="D34">
        <v>26.594360000000002</v>
      </c>
      <c r="E34" s="9">
        <v>3.3405140000000002</v>
      </c>
      <c r="F34" s="9">
        <f>D34-E34</f>
        <v>23.253846000000003</v>
      </c>
      <c r="G34" s="9">
        <f t="shared" si="0"/>
        <v>6.6810280000000004</v>
      </c>
      <c r="H34" s="9">
        <f t="shared" si="1"/>
        <v>0.37295733333333347</v>
      </c>
    </row>
    <row r="35" spans="1:8" x14ac:dyDescent="0.25">
      <c r="A35" s="10">
        <v>0.31</v>
      </c>
      <c r="B35" s="11">
        <v>0.76100000000000001</v>
      </c>
      <c r="C35" s="17">
        <v>20.212219999999999</v>
      </c>
      <c r="D35">
        <v>26.569506000000001</v>
      </c>
      <c r="E35" s="9">
        <v>3.3518430000000001</v>
      </c>
      <c r="F35" s="9">
        <f>D35-E35</f>
        <v>23.217663000000002</v>
      </c>
      <c r="G35" s="9">
        <f t="shared" si="0"/>
        <v>6.7036860000000003</v>
      </c>
      <c r="H35" s="9">
        <f t="shared" si="1"/>
        <v>0.37130040000000003</v>
      </c>
    </row>
    <row r="36" spans="1:8" x14ac:dyDescent="0.25">
      <c r="A36" s="10">
        <v>0.32</v>
      </c>
      <c r="B36" s="11">
        <v>0.76300000000000001</v>
      </c>
      <c r="C36" s="17">
        <v>20.254490000000001</v>
      </c>
      <c r="D36">
        <v>26.559434</v>
      </c>
      <c r="E36" s="9">
        <v>3.3557350000000001</v>
      </c>
      <c r="F36" s="9">
        <f>D36-E36</f>
        <v>23.203699</v>
      </c>
      <c r="G36" s="9">
        <f t="shared" si="0"/>
        <v>6.7114700000000003</v>
      </c>
      <c r="H36" s="9">
        <f t="shared" si="1"/>
        <v>0.3706289333333333</v>
      </c>
    </row>
    <row r="37" spans="1:8" x14ac:dyDescent="0.25">
      <c r="A37" s="10">
        <v>0.33</v>
      </c>
      <c r="B37" s="11">
        <v>0.76300000000000001</v>
      </c>
      <c r="C37" s="17">
        <v>20.248290000000001</v>
      </c>
      <c r="D37">
        <v>26.552349</v>
      </c>
      <c r="E37" s="9">
        <v>3.3581210000000001</v>
      </c>
      <c r="F37" s="9">
        <f>D37-E37</f>
        <v>23.194227999999999</v>
      </c>
      <c r="G37" s="9">
        <f t="shared" si="0"/>
        <v>6.7162420000000003</v>
      </c>
      <c r="H37" s="9">
        <f t="shared" si="1"/>
        <v>0.37015659999999995</v>
      </c>
    </row>
    <row r="38" spans="1:8" x14ac:dyDescent="0.25">
      <c r="A38" s="10">
        <v>0.34</v>
      </c>
      <c r="B38" s="11">
        <v>0.76200000000000001</v>
      </c>
      <c r="C38" s="17">
        <v>20.226600000000001</v>
      </c>
      <c r="D38">
        <v>26.555595</v>
      </c>
      <c r="E38" s="9">
        <v>3.375203</v>
      </c>
      <c r="F38" s="9">
        <f>D38-E38</f>
        <v>23.180392000000001</v>
      </c>
      <c r="G38" s="9">
        <f t="shared" si="0"/>
        <v>6.7504059999999999</v>
      </c>
      <c r="H38" s="9">
        <f t="shared" si="1"/>
        <v>0.37037300000000001</v>
      </c>
    </row>
    <row r="39" spans="1:8" x14ac:dyDescent="0.25">
      <c r="A39" s="10">
        <v>0.35</v>
      </c>
      <c r="B39" s="11">
        <v>0.76300000000000001</v>
      </c>
      <c r="C39" s="17">
        <v>20.263940000000002</v>
      </c>
      <c r="D39">
        <v>26.568342000000001</v>
      </c>
      <c r="E39" s="9">
        <v>3.3836040000000001</v>
      </c>
      <c r="F39" s="9">
        <f>D39-E39</f>
        <v>23.184738000000003</v>
      </c>
      <c r="G39" s="9">
        <f t="shared" si="0"/>
        <v>6.7672080000000001</v>
      </c>
      <c r="H39" s="9">
        <f t="shared" si="1"/>
        <v>0.37122280000000007</v>
      </c>
    </row>
    <row r="40" spans="1:8" x14ac:dyDescent="0.25">
      <c r="A40" s="10">
        <v>0.36</v>
      </c>
      <c r="B40" s="11">
        <v>0.76</v>
      </c>
      <c r="C40" s="17">
        <v>20.164200000000001</v>
      </c>
      <c r="D40">
        <v>26.545114999999999</v>
      </c>
      <c r="E40" s="9">
        <v>3.358266</v>
      </c>
      <c r="F40" s="9">
        <f>D40-E40</f>
        <v>23.186848999999999</v>
      </c>
      <c r="G40" s="9">
        <f t="shared" si="0"/>
        <v>6.7165319999999999</v>
      </c>
      <c r="H40" s="9">
        <f t="shared" si="1"/>
        <v>0.36967433333333327</v>
      </c>
    </row>
    <row r="41" spans="1:8" x14ac:dyDescent="0.25">
      <c r="A41" s="10">
        <v>0.37</v>
      </c>
      <c r="B41" s="11">
        <v>0.76</v>
      </c>
      <c r="C41" s="17">
        <v>20.15043</v>
      </c>
      <c r="D41">
        <v>26.520354000000001</v>
      </c>
      <c r="E41" s="9">
        <v>3.3500220000000001</v>
      </c>
      <c r="F41" s="9">
        <f>D41-E41</f>
        <v>23.170332000000002</v>
      </c>
      <c r="G41" s="9">
        <f t="shared" si="0"/>
        <v>6.7000440000000001</v>
      </c>
      <c r="H41" s="9">
        <f t="shared" si="1"/>
        <v>0.36802360000000006</v>
      </c>
    </row>
    <row r="42" spans="1:8" x14ac:dyDescent="0.25">
      <c r="A42" s="10">
        <v>0.38</v>
      </c>
      <c r="B42" s="11">
        <v>0.75800000000000001</v>
      </c>
      <c r="C42" s="17">
        <v>20.169219999999999</v>
      </c>
      <c r="D42">
        <v>26.613385000000001</v>
      </c>
      <c r="E42" s="9">
        <v>3.3997519999999999</v>
      </c>
      <c r="F42" s="9">
        <f>D42-E42</f>
        <v>23.213633000000002</v>
      </c>
      <c r="G42" s="9">
        <f t="shared" si="0"/>
        <v>6.7995039999999998</v>
      </c>
      <c r="H42" s="9">
        <f t="shared" si="1"/>
        <v>0.37422566666666673</v>
      </c>
    </row>
    <row r="43" spans="1:8" x14ac:dyDescent="0.25">
      <c r="A43" s="10">
        <v>0.39</v>
      </c>
      <c r="B43" s="11">
        <v>0.75800000000000001</v>
      </c>
      <c r="C43" s="17">
        <v>20.196020000000001</v>
      </c>
      <c r="D43">
        <v>26.629773</v>
      </c>
      <c r="E43" s="9">
        <v>3.3910580000000001</v>
      </c>
      <c r="F43" s="9">
        <f>D43-E43</f>
        <v>23.238714999999999</v>
      </c>
      <c r="G43" s="9">
        <f t="shared" si="0"/>
        <v>6.7821160000000003</v>
      </c>
      <c r="H43" s="9">
        <f t="shared" si="1"/>
        <v>0.37531819999999999</v>
      </c>
    </row>
    <row r="44" spans="1:8" x14ac:dyDescent="0.25">
      <c r="A44" s="10">
        <v>0.4</v>
      </c>
      <c r="B44" s="11">
        <v>0.75900000000000001</v>
      </c>
      <c r="C44" s="17">
        <v>20.191210000000002</v>
      </c>
      <c r="D44">
        <v>26.61571</v>
      </c>
      <c r="E44" s="9">
        <v>3.4061569999999999</v>
      </c>
      <c r="F44" s="9">
        <f>D44-E44</f>
        <v>23.209553</v>
      </c>
      <c r="G44" s="9">
        <f t="shared" si="0"/>
        <v>6.8123139999999998</v>
      </c>
      <c r="H44" s="9">
        <f t="shared" si="1"/>
        <v>0.37438066666666664</v>
      </c>
    </row>
    <row r="45" spans="1:8" x14ac:dyDescent="0.25">
      <c r="A45" s="10">
        <v>0.41</v>
      </c>
      <c r="B45" s="11">
        <v>0.752</v>
      </c>
      <c r="C45" s="17">
        <v>20.126290000000001</v>
      </c>
      <c r="D45">
        <v>26.755144999999999</v>
      </c>
      <c r="E45" s="9">
        <v>3.4172220000000002</v>
      </c>
      <c r="F45" s="9">
        <f>D45-E45</f>
        <v>23.337923</v>
      </c>
      <c r="G45" s="9">
        <f t="shared" si="0"/>
        <v>6.8344440000000004</v>
      </c>
      <c r="H45" s="9">
        <f t="shared" si="1"/>
        <v>0.38367633333333323</v>
      </c>
    </row>
    <row r="46" spans="1:8" x14ac:dyDescent="0.25">
      <c r="A46" s="10">
        <v>0.42</v>
      </c>
      <c r="B46" s="11">
        <v>0.751</v>
      </c>
      <c r="C46" s="17">
        <v>20.101990000000001</v>
      </c>
      <c r="D46">
        <v>26.7577</v>
      </c>
      <c r="E46" s="9">
        <v>3.394879</v>
      </c>
      <c r="F46" s="9">
        <f>D46-E46</f>
        <v>23.362821</v>
      </c>
      <c r="G46" s="9">
        <f t="shared" si="0"/>
        <v>6.789758</v>
      </c>
      <c r="H46" s="9">
        <f t="shared" si="1"/>
        <v>0.38384666666666667</v>
      </c>
    </row>
    <row r="47" spans="1:8" x14ac:dyDescent="0.25">
      <c r="A47" s="10">
        <v>0.43</v>
      </c>
      <c r="B47" s="11">
        <v>0.752</v>
      </c>
      <c r="C47" s="17">
        <v>20.141580000000001</v>
      </c>
      <c r="D47">
        <v>26.772978999999999</v>
      </c>
      <c r="E47" s="9">
        <v>3.413713</v>
      </c>
      <c r="F47" s="9">
        <f>D47-E47</f>
        <v>23.359265999999998</v>
      </c>
      <c r="G47" s="9">
        <f t="shared" si="0"/>
        <v>6.827426</v>
      </c>
      <c r="H47" s="9">
        <f t="shared" si="1"/>
        <v>0.38486526666666665</v>
      </c>
    </row>
    <row r="48" spans="1:8" x14ac:dyDescent="0.25">
      <c r="A48" s="10">
        <v>0.44</v>
      </c>
      <c r="B48" s="11">
        <v>0.746</v>
      </c>
      <c r="C48" s="17">
        <v>19.984660000000002</v>
      </c>
      <c r="D48">
        <v>26.796990999999998</v>
      </c>
      <c r="E48" s="9">
        <v>3.4153989999999999</v>
      </c>
      <c r="F48" s="9">
        <f>D48-E48</f>
        <v>23.381591999999998</v>
      </c>
      <c r="G48" s="9">
        <f t="shared" si="0"/>
        <v>6.8307979999999997</v>
      </c>
      <c r="H48" s="9">
        <f t="shared" si="1"/>
        <v>0.38646606666666655</v>
      </c>
    </row>
    <row r="49" spans="1:8" x14ac:dyDescent="0.25">
      <c r="A49" s="10">
        <v>0.45</v>
      </c>
      <c r="B49" s="11">
        <v>0.61899999999999999</v>
      </c>
      <c r="C49" s="17">
        <v>17.229140000000001</v>
      </c>
      <c r="D49">
        <v>27.831130999999999</v>
      </c>
      <c r="E49" s="9">
        <v>3.2143419999999998</v>
      </c>
      <c r="F49" s="9">
        <f>D49-E49</f>
        <v>24.616789000000001</v>
      </c>
      <c r="G49" s="9">
        <f t="shared" si="0"/>
        <v>6.4286839999999996</v>
      </c>
      <c r="H49" s="9">
        <f t="shared" si="1"/>
        <v>0.45540873333333326</v>
      </c>
    </row>
    <row r="50" spans="1:8" x14ac:dyDescent="0.25">
      <c r="A50" s="10">
        <v>0.46</v>
      </c>
      <c r="B50" s="11">
        <v>0.62</v>
      </c>
      <c r="C50" s="17">
        <v>17.275829999999999</v>
      </c>
      <c r="D50">
        <v>27.869185999999999</v>
      </c>
      <c r="E50" s="9">
        <v>3.198096</v>
      </c>
      <c r="F50" s="9">
        <f>D50-E50</f>
        <v>24.67109</v>
      </c>
      <c r="G50" s="9">
        <f t="shared" si="0"/>
        <v>6.3961920000000001</v>
      </c>
      <c r="H50" s="9">
        <f t="shared" si="1"/>
        <v>0.45794573333333327</v>
      </c>
    </row>
    <row r="51" spans="1:8" x14ac:dyDescent="0.25">
      <c r="A51" s="10">
        <v>0.47</v>
      </c>
      <c r="B51" s="11">
        <v>0.61799999999999999</v>
      </c>
      <c r="C51" s="17">
        <v>17.213840000000001</v>
      </c>
      <c r="D51">
        <v>27.862676</v>
      </c>
      <c r="E51" s="9">
        <v>3.21699</v>
      </c>
      <c r="F51" s="9">
        <f>D51-E51</f>
        <v>24.645686000000001</v>
      </c>
      <c r="G51" s="9">
        <f t="shared" si="0"/>
        <v>6.43398</v>
      </c>
      <c r="H51" s="9">
        <f t="shared" si="1"/>
        <v>0.45751173333333334</v>
      </c>
    </row>
    <row r="52" spans="1:8" x14ac:dyDescent="0.25">
      <c r="A52" s="10">
        <v>0.48</v>
      </c>
      <c r="B52" s="11">
        <v>0.621</v>
      </c>
      <c r="C52" s="17">
        <v>17.282779999999999</v>
      </c>
      <c r="D52">
        <v>27.852540999999999</v>
      </c>
      <c r="E52" s="9">
        <v>3.2082549999999999</v>
      </c>
      <c r="F52" s="9">
        <f>D52-E52</f>
        <v>24.644285999999997</v>
      </c>
      <c r="G52" s="9">
        <f t="shared" si="0"/>
        <v>6.4165099999999997</v>
      </c>
      <c r="H52" s="9">
        <f t="shared" si="1"/>
        <v>0.4568360666666666</v>
      </c>
    </row>
    <row r="53" spans="1:8" x14ac:dyDescent="0.25">
      <c r="A53" s="10">
        <v>0.49</v>
      </c>
      <c r="B53" s="11">
        <v>0.62</v>
      </c>
      <c r="C53" s="17">
        <v>17.276</v>
      </c>
      <c r="D53">
        <v>27.879355</v>
      </c>
      <c r="E53" s="9">
        <v>3.194337</v>
      </c>
      <c r="F53" s="9">
        <f>D53-E53</f>
        <v>24.685017999999999</v>
      </c>
      <c r="G53" s="9">
        <f t="shared" si="0"/>
        <v>6.388674</v>
      </c>
      <c r="H53" s="9">
        <f t="shared" si="1"/>
        <v>0.45862366666666671</v>
      </c>
    </row>
    <row r="54" spans="1:8" x14ac:dyDescent="0.25">
      <c r="A54" s="10">
        <v>0.5</v>
      </c>
      <c r="B54" s="11">
        <v>0.623</v>
      </c>
      <c r="C54" s="17">
        <v>17.36289</v>
      </c>
      <c r="D54">
        <v>27.869807000000002</v>
      </c>
      <c r="E54" s="9">
        <v>3.1954549999999999</v>
      </c>
      <c r="F54" s="9">
        <f>D54-E54</f>
        <v>24.674352000000003</v>
      </c>
      <c r="G54" s="9">
        <f t="shared" si="0"/>
        <v>6.3909099999999999</v>
      </c>
      <c r="H54" s="9">
        <f t="shared" si="1"/>
        <v>0.45798713333333346</v>
      </c>
    </row>
    <row r="55" spans="1:8" x14ac:dyDescent="0.25">
      <c r="A55" s="10">
        <v>0.51</v>
      </c>
      <c r="B55" s="11">
        <v>0.57599999999999996</v>
      </c>
      <c r="C55" s="17">
        <v>16.078959999999999</v>
      </c>
      <c r="D55">
        <v>27.895973000000001</v>
      </c>
      <c r="E55" s="9">
        <v>3.3311540000000002</v>
      </c>
      <c r="F55" s="9">
        <f>D55-E55</f>
        <v>24.564819</v>
      </c>
      <c r="G55" s="9">
        <f t="shared" si="0"/>
        <v>6.6623080000000003</v>
      </c>
      <c r="H55" s="9">
        <f t="shared" si="1"/>
        <v>0.45973153333333344</v>
      </c>
    </row>
    <row r="56" spans="1:8" x14ac:dyDescent="0.25">
      <c r="A56" s="10">
        <v>0.52</v>
      </c>
      <c r="B56" s="11">
        <v>0.57399999999999995</v>
      </c>
      <c r="C56" s="17">
        <v>16.023070000000001</v>
      </c>
      <c r="D56">
        <v>27.907948999999999</v>
      </c>
      <c r="E56" s="9">
        <v>3.3427129999999998</v>
      </c>
      <c r="F56" s="9">
        <f>D56-E56</f>
        <v>24.565235999999999</v>
      </c>
      <c r="G56" s="9">
        <f t="shared" si="0"/>
        <v>6.6854259999999996</v>
      </c>
      <c r="H56" s="9">
        <f t="shared" si="1"/>
        <v>0.46052993333333325</v>
      </c>
    </row>
    <row r="57" spans="1:8" x14ac:dyDescent="0.25">
      <c r="A57" s="10">
        <v>0.53</v>
      </c>
      <c r="B57" s="11">
        <v>0.57599999999999996</v>
      </c>
      <c r="C57" s="17">
        <v>16.08549</v>
      </c>
      <c r="D57">
        <v>27.922319999999999</v>
      </c>
      <c r="E57" s="9">
        <v>3.3284310000000001</v>
      </c>
      <c r="F57" s="9">
        <f>D57-E57</f>
        <v>24.593888999999997</v>
      </c>
      <c r="G57" s="9">
        <f t="shared" si="0"/>
        <v>6.6568620000000003</v>
      </c>
      <c r="H57" s="9">
        <f t="shared" si="1"/>
        <v>0.46148799999999995</v>
      </c>
    </row>
    <row r="58" spans="1:8" x14ac:dyDescent="0.25">
      <c r="A58" s="10">
        <v>0.54</v>
      </c>
      <c r="B58" s="11">
        <v>0.57599999999999996</v>
      </c>
      <c r="C58" s="17">
        <v>16.064730000000001</v>
      </c>
      <c r="D58">
        <v>27.885798999999999</v>
      </c>
      <c r="E58" s="9">
        <v>3.3424230000000001</v>
      </c>
      <c r="F58" s="9">
        <f>D58-E58</f>
        <v>24.543375999999999</v>
      </c>
      <c r="G58" s="9">
        <f t="shared" si="0"/>
        <v>6.6848460000000003</v>
      </c>
      <c r="H58" s="9">
        <f t="shared" si="1"/>
        <v>0.45905326666666657</v>
      </c>
    </row>
    <row r="59" spans="1:8" x14ac:dyDescent="0.25">
      <c r="A59" s="10">
        <v>0.55000000000000004</v>
      </c>
      <c r="B59" s="11">
        <v>0.57499999999999996</v>
      </c>
      <c r="C59" s="17">
        <v>16.045719999999999</v>
      </c>
      <c r="D59">
        <v>27.891048000000001</v>
      </c>
      <c r="E59" s="9">
        <v>3.3400349999999999</v>
      </c>
      <c r="F59" s="9">
        <f>D59-E59</f>
        <v>24.551013000000001</v>
      </c>
      <c r="G59" s="9">
        <f t="shared" si="0"/>
        <v>6.6800699999999997</v>
      </c>
      <c r="H59" s="9">
        <f t="shared" si="1"/>
        <v>0.45940320000000007</v>
      </c>
    </row>
    <row r="60" spans="1:8" x14ac:dyDescent="0.25">
      <c r="A60" s="10">
        <v>0.56000000000000005</v>
      </c>
      <c r="B60" s="11">
        <v>0.57499999999999996</v>
      </c>
      <c r="C60" s="17">
        <v>16.043510000000001</v>
      </c>
      <c r="D60">
        <v>27.905639000000001</v>
      </c>
      <c r="E60" s="9">
        <v>3.3597709999999998</v>
      </c>
      <c r="F60" s="9">
        <f>D60-E60</f>
        <v>24.545868000000002</v>
      </c>
      <c r="G60" s="9">
        <f t="shared" si="0"/>
        <v>6.7195419999999997</v>
      </c>
      <c r="H60" s="9">
        <f t="shared" si="1"/>
        <v>0.46037593333333338</v>
      </c>
    </row>
    <row r="61" spans="1:8" x14ac:dyDescent="0.25">
      <c r="A61" s="10">
        <v>0.56999999999999995</v>
      </c>
      <c r="B61" s="11">
        <v>0.57799999999999996</v>
      </c>
      <c r="C61" s="17">
        <v>16.128530000000001</v>
      </c>
      <c r="D61">
        <v>27.890038000000001</v>
      </c>
      <c r="E61" s="9">
        <v>3.3381319999999999</v>
      </c>
      <c r="F61" s="9">
        <f>D61-E61</f>
        <v>24.551906000000002</v>
      </c>
      <c r="G61" s="9">
        <f t="shared" si="0"/>
        <v>6.6762639999999998</v>
      </c>
      <c r="H61" s="9">
        <f t="shared" si="1"/>
        <v>0.4593358666666667</v>
      </c>
    </row>
    <row r="62" spans="1:8" x14ac:dyDescent="0.25">
      <c r="A62" s="10">
        <v>0.57999999999999996</v>
      </c>
      <c r="B62" s="11">
        <v>0.57599999999999996</v>
      </c>
      <c r="C62" s="17">
        <v>16.062660000000001</v>
      </c>
      <c r="D62">
        <v>27.888498999999999</v>
      </c>
      <c r="E62" s="9">
        <v>3.3326730000000002</v>
      </c>
      <c r="F62" s="9">
        <f>D62-E62</f>
        <v>24.555826</v>
      </c>
      <c r="G62" s="9">
        <f t="shared" si="0"/>
        <v>6.6653460000000004</v>
      </c>
      <c r="H62" s="9">
        <f t="shared" si="1"/>
        <v>0.45923326666666664</v>
      </c>
    </row>
    <row r="63" spans="1:8" x14ac:dyDescent="0.25">
      <c r="A63" s="10">
        <v>0.59</v>
      </c>
      <c r="B63" s="11">
        <v>0.57699999999999996</v>
      </c>
      <c r="C63" s="17">
        <v>16.107119999999998</v>
      </c>
      <c r="D63">
        <v>27.906096999999999</v>
      </c>
      <c r="E63" s="9">
        <v>3.3397480000000002</v>
      </c>
      <c r="F63" s="9">
        <f>D63-E63</f>
        <v>24.566348999999999</v>
      </c>
      <c r="G63" s="9">
        <f t="shared" si="0"/>
        <v>6.6794960000000003</v>
      </c>
      <c r="H63" s="9">
        <f t="shared" si="1"/>
        <v>0.46040646666666663</v>
      </c>
    </row>
    <row r="64" spans="1:8" x14ac:dyDescent="0.25">
      <c r="A64" s="10">
        <v>0.6</v>
      </c>
      <c r="B64" s="11">
        <v>0.57499999999999996</v>
      </c>
      <c r="C64" s="17">
        <v>16.03059</v>
      </c>
      <c r="D64">
        <v>27.902094000000002</v>
      </c>
      <c r="E64" s="9">
        <v>3.3355980000000001</v>
      </c>
      <c r="F64" s="9">
        <f>D64-E64</f>
        <v>24.566496000000001</v>
      </c>
      <c r="G64" s="9">
        <f t="shared" si="0"/>
        <v>6.6711960000000001</v>
      </c>
      <c r="H64" s="9">
        <f t="shared" si="1"/>
        <v>0.46013960000000009</v>
      </c>
    </row>
    <row r="65" spans="1:8" x14ac:dyDescent="0.25">
      <c r="A65" s="10">
        <v>0.61</v>
      </c>
      <c r="B65" s="11">
        <v>0.57399999999999995</v>
      </c>
      <c r="C65" s="17">
        <v>16.0442</v>
      </c>
      <c r="D65">
        <v>27.956437999999999</v>
      </c>
      <c r="E65" s="9">
        <v>3.3663799999999999</v>
      </c>
      <c r="F65" s="9">
        <f>D65-E65</f>
        <v>24.590057999999999</v>
      </c>
      <c r="G65" s="9">
        <f t="shared" si="0"/>
        <v>6.7327599999999999</v>
      </c>
      <c r="H65" s="9">
        <f t="shared" si="1"/>
        <v>0.46376253333333323</v>
      </c>
    </row>
    <row r="66" spans="1:8" x14ac:dyDescent="0.25">
      <c r="A66" s="10">
        <v>0.62</v>
      </c>
      <c r="B66" s="11">
        <v>0.56599999999999995</v>
      </c>
      <c r="C66" s="17">
        <v>15.8675</v>
      </c>
      <c r="D66">
        <v>28.018117</v>
      </c>
      <c r="E66" s="9">
        <v>3.3803480000000001</v>
      </c>
      <c r="F66" s="9">
        <f>D66-E66</f>
        <v>24.637768999999999</v>
      </c>
      <c r="G66" s="9">
        <f t="shared" si="0"/>
        <v>6.7606960000000003</v>
      </c>
      <c r="H66" s="9">
        <f t="shared" si="1"/>
        <v>0.46787446666666666</v>
      </c>
    </row>
    <row r="67" spans="1:8" x14ac:dyDescent="0.25">
      <c r="A67" s="10">
        <v>0.63</v>
      </c>
      <c r="B67" s="11">
        <v>0.56299999999999994</v>
      </c>
      <c r="C67" s="17">
        <v>15.82741</v>
      </c>
      <c r="D67">
        <v>28.118621999999998</v>
      </c>
      <c r="E67" s="9">
        <v>3.3838460000000001</v>
      </c>
      <c r="F67" s="9">
        <f>D67-E67</f>
        <v>24.734775999999997</v>
      </c>
      <c r="G67" s="9">
        <f t="shared" si="0"/>
        <v>6.7676920000000003</v>
      </c>
      <c r="H67" s="9">
        <f t="shared" si="1"/>
        <v>0.47457479999999991</v>
      </c>
    </row>
    <row r="68" spans="1:8" x14ac:dyDescent="0.25">
      <c r="A68" s="10">
        <v>0.64</v>
      </c>
      <c r="B68" s="11">
        <v>0.56100000000000005</v>
      </c>
      <c r="C68" s="17">
        <v>15.783250000000001</v>
      </c>
      <c r="D68">
        <v>28.122105000000001</v>
      </c>
      <c r="E68" s="9">
        <v>3.3787539999999998</v>
      </c>
      <c r="F68" s="9">
        <f>D68-E68</f>
        <v>24.743351000000001</v>
      </c>
      <c r="G68" s="9">
        <f t="shared" si="0"/>
        <v>6.7575079999999996</v>
      </c>
      <c r="H68" s="9">
        <f t="shared" si="1"/>
        <v>0.47480700000000009</v>
      </c>
    </row>
    <row r="69" spans="1:8" x14ac:dyDescent="0.25">
      <c r="A69" s="10">
        <v>0.65</v>
      </c>
      <c r="B69" s="11">
        <v>0.56100000000000005</v>
      </c>
      <c r="C69" s="17">
        <v>15.78572</v>
      </c>
      <c r="D69">
        <v>28.15259</v>
      </c>
      <c r="E69" s="9">
        <v>3.3602020000000001</v>
      </c>
      <c r="F69" s="9">
        <f>D69-E69</f>
        <v>24.792387999999999</v>
      </c>
      <c r="G69" s="9">
        <f t="shared" ref="G69:G104" si="2">E69*2</f>
        <v>6.7204040000000003</v>
      </c>
      <c r="H69" s="9">
        <f t="shared" ref="H69:H104" si="3">(D69-21)/15</f>
        <v>0.47683933333333334</v>
      </c>
    </row>
    <row r="70" spans="1:8" x14ac:dyDescent="0.25">
      <c r="A70" s="10">
        <v>0.66</v>
      </c>
      <c r="B70" s="11">
        <v>0.56200000000000006</v>
      </c>
      <c r="C70" s="17">
        <v>15.82362</v>
      </c>
      <c r="D70">
        <v>28.176462999999998</v>
      </c>
      <c r="E70" s="9">
        <v>3.387931</v>
      </c>
      <c r="F70" s="9">
        <f>D70-E70</f>
        <v>24.788531999999996</v>
      </c>
      <c r="G70" s="9">
        <f t="shared" si="2"/>
        <v>6.7758620000000001</v>
      </c>
      <c r="H70" s="9">
        <f t="shared" si="3"/>
        <v>0.47843086666666657</v>
      </c>
    </row>
    <row r="71" spans="1:8" x14ac:dyDescent="0.25">
      <c r="A71" s="10">
        <v>0.67</v>
      </c>
      <c r="B71" s="11">
        <v>0.39200000000000002</v>
      </c>
      <c r="C71" s="17">
        <v>11.200279999999999</v>
      </c>
      <c r="D71">
        <v>28.583079999999999</v>
      </c>
      <c r="E71" s="9">
        <v>3.7901570000000002</v>
      </c>
      <c r="F71" s="9">
        <f>D71-E71</f>
        <v>24.792922999999998</v>
      </c>
      <c r="G71" s="9">
        <f t="shared" si="2"/>
        <v>7.5803140000000004</v>
      </c>
      <c r="H71" s="9">
        <f t="shared" si="3"/>
        <v>0.50553866666666658</v>
      </c>
    </row>
    <row r="72" spans="1:8" x14ac:dyDescent="0.25">
      <c r="A72" s="10">
        <v>0.68</v>
      </c>
      <c r="B72" s="11">
        <v>0.39600000000000002</v>
      </c>
      <c r="C72" s="17">
        <v>11.309760000000001</v>
      </c>
      <c r="D72">
        <v>28.526862999999999</v>
      </c>
      <c r="E72" s="9">
        <v>3.798117</v>
      </c>
      <c r="F72" s="9">
        <f>D72-E72</f>
        <v>24.728745999999997</v>
      </c>
      <c r="G72" s="9">
        <f t="shared" si="2"/>
        <v>7.5962339999999999</v>
      </c>
      <c r="H72" s="9">
        <f t="shared" si="3"/>
        <v>0.50179086666666661</v>
      </c>
    </row>
    <row r="73" spans="1:8" x14ac:dyDescent="0.25">
      <c r="A73" s="10">
        <v>0.69</v>
      </c>
      <c r="B73" s="11">
        <v>0.39400000000000002</v>
      </c>
      <c r="C73" s="17">
        <v>11.22819</v>
      </c>
      <c r="D73">
        <v>28.515314</v>
      </c>
      <c r="E73" s="9">
        <v>3.8138339999999999</v>
      </c>
      <c r="F73" s="9">
        <f>D73-E73</f>
        <v>24.70148</v>
      </c>
      <c r="G73" s="9">
        <f t="shared" si="2"/>
        <v>7.6276679999999999</v>
      </c>
      <c r="H73" s="9">
        <f t="shared" si="3"/>
        <v>0.50102093333333331</v>
      </c>
    </row>
    <row r="74" spans="1:8" x14ac:dyDescent="0.25">
      <c r="A74" s="10">
        <v>0.7</v>
      </c>
      <c r="B74" s="11">
        <v>0.36099999999999999</v>
      </c>
      <c r="C74" s="17">
        <v>10.50395</v>
      </c>
      <c r="D74">
        <v>29.074263999999999</v>
      </c>
      <c r="E74" s="9">
        <v>3.48332</v>
      </c>
      <c r="F74" s="9">
        <f>D74-E74</f>
        <v>25.590944</v>
      </c>
      <c r="G74" s="9">
        <f t="shared" si="2"/>
        <v>6.9666399999999999</v>
      </c>
      <c r="H74" s="9">
        <f t="shared" si="3"/>
        <v>0.53828426666666662</v>
      </c>
    </row>
    <row r="75" spans="1:8" x14ac:dyDescent="0.25">
      <c r="A75" s="10">
        <v>0.71</v>
      </c>
      <c r="B75" s="11">
        <v>0.36199999999999999</v>
      </c>
      <c r="C75" s="17">
        <v>10.5349</v>
      </c>
      <c r="D75">
        <v>29.076231</v>
      </c>
      <c r="E75" s="9">
        <v>3.4930910000000002</v>
      </c>
      <c r="F75" s="9">
        <f>D75-E75</f>
        <v>25.58314</v>
      </c>
      <c r="G75" s="9">
        <f t="shared" si="2"/>
        <v>6.9861820000000003</v>
      </c>
      <c r="H75" s="9">
        <f t="shared" si="3"/>
        <v>0.53841539999999999</v>
      </c>
    </row>
    <row r="76" spans="1:8" x14ac:dyDescent="0.25">
      <c r="A76" s="10">
        <v>0.72</v>
      </c>
      <c r="B76" s="11">
        <v>0.36199999999999999</v>
      </c>
      <c r="C76" s="17">
        <v>10.52974</v>
      </c>
      <c r="D76">
        <v>29.080449999999999</v>
      </c>
      <c r="E76" s="9">
        <v>3.4937070000000001</v>
      </c>
      <c r="F76" s="9">
        <f>D76-E76</f>
        <v>25.586742999999998</v>
      </c>
      <c r="G76" s="9">
        <f t="shared" si="2"/>
        <v>6.9874140000000002</v>
      </c>
      <c r="H76" s="9">
        <f t="shared" si="3"/>
        <v>0.5386966666666666</v>
      </c>
    </row>
    <row r="77" spans="1:8" x14ac:dyDescent="0.25">
      <c r="A77" s="10">
        <v>0.73</v>
      </c>
      <c r="B77" s="11">
        <v>0.36099999999999999</v>
      </c>
      <c r="C77" s="17">
        <v>10.499129999999999</v>
      </c>
      <c r="D77">
        <v>29.070578000000001</v>
      </c>
      <c r="E77" s="9">
        <v>3.4992719999999999</v>
      </c>
      <c r="F77" s="9">
        <f>D77-E77</f>
        <v>25.571306</v>
      </c>
      <c r="G77" s="9">
        <f t="shared" si="2"/>
        <v>6.9985439999999999</v>
      </c>
      <c r="H77" s="9">
        <f t="shared" si="3"/>
        <v>0.5380385333333334</v>
      </c>
    </row>
    <row r="78" spans="1:8" x14ac:dyDescent="0.25">
      <c r="A78" s="10">
        <v>0.74</v>
      </c>
      <c r="B78" s="11">
        <v>0.36399999999999999</v>
      </c>
      <c r="C78" s="17">
        <v>10.557930000000001</v>
      </c>
      <c r="D78">
        <v>29.045199</v>
      </c>
      <c r="E78" s="9">
        <v>3.4886840000000001</v>
      </c>
      <c r="F78" s="9">
        <f>D78-E78</f>
        <v>25.556515000000001</v>
      </c>
      <c r="G78" s="9">
        <f t="shared" si="2"/>
        <v>6.9773680000000002</v>
      </c>
      <c r="H78" s="9">
        <f t="shared" si="3"/>
        <v>0.53634660000000001</v>
      </c>
    </row>
    <row r="79" spans="1:8" x14ac:dyDescent="0.25">
      <c r="A79" s="10">
        <v>0.75</v>
      </c>
      <c r="B79" s="11">
        <v>0.35899999999999999</v>
      </c>
      <c r="C79" s="17">
        <v>10.44022</v>
      </c>
      <c r="D79">
        <v>29.040946000000002</v>
      </c>
      <c r="E79" s="9">
        <v>3.491527</v>
      </c>
      <c r="F79" s="9">
        <f>D79-E79</f>
        <v>25.549419</v>
      </c>
      <c r="G79" s="9">
        <f t="shared" si="2"/>
        <v>6.9830540000000001</v>
      </c>
      <c r="H79" s="9">
        <f t="shared" si="3"/>
        <v>0.53606306666666681</v>
      </c>
    </row>
    <row r="80" spans="1:8" x14ac:dyDescent="0.25">
      <c r="A80" s="10">
        <v>0.76</v>
      </c>
      <c r="B80" s="11">
        <v>0.36199999999999999</v>
      </c>
      <c r="C80" s="17">
        <v>10.51751</v>
      </c>
      <c r="D80">
        <v>29.090057000000002</v>
      </c>
      <c r="E80" s="9">
        <v>3.4891969999999999</v>
      </c>
      <c r="F80" s="9">
        <f>D80-E80</f>
        <v>25.600860000000001</v>
      </c>
      <c r="G80" s="9">
        <f t="shared" si="2"/>
        <v>6.9783939999999998</v>
      </c>
      <c r="H80" s="9">
        <f t="shared" si="3"/>
        <v>0.53933713333333344</v>
      </c>
    </row>
    <row r="81" spans="1:8" x14ac:dyDescent="0.25">
      <c r="A81" s="10">
        <v>0.77</v>
      </c>
      <c r="B81" s="11">
        <v>0.36099999999999999</v>
      </c>
      <c r="C81" s="17">
        <v>10.484999999999999</v>
      </c>
      <c r="D81">
        <v>29.069284</v>
      </c>
      <c r="E81" s="9">
        <v>3.4897450000000001</v>
      </c>
      <c r="F81" s="9">
        <f>D81-E81</f>
        <v>25.579539</v>
      </c>
      <c r="G81" s="9">
        <f t="shared" si="2"/>
        <v>6.9794900000000002</v>
      </c>
      <c r="H81" s="9">
        <f t="shared" si="3"/>
        <v>0.53795226666666662</v>
      </c>
    </row>
    <row r="82" spans="1:8" x14ac:dyDescent="0.25">
      <c r="A82" s="10">
        <v>0.78</v>
      </c>
      <c r="B82" s="11">
        <v>0.35899999999999999</v>
      </c>
      <c r="C82" s="17">
        <v>10.458170000000001</v>
      </c>
      <c r="D82">
        <v>29.101400000000002</v>
      </c>
      <c r="E82" s="9">
        <v>3.485357</v>
      </c>
      <c r="F82" s="9">
        <f>D82-E82</f>
        <v>25.616043000000001</v>
      </c>
      <c r="G82" s="9">
        <f t="shared" si="2"/>
        <v>6.9707140000000001</v>
      </c>
      <c r="H82" s="9">
        <f t="shared" si="3"/>
        <v>0.54009333333333343</v>
      </c>
    </row>
    <row r="83" spans="1:8" x14ac:dyDescent="0.25">
      <c r="A83" s="10">
        <v>0.79</v>
      </c>
      <c r="B83" s="11">
        <v>0.36299999999999999</v>
      </c>
      <c r="C83" s="17">
        <v>10.548959999999999</v>
      </c>
      <c r="D83">
        <v>29.071708000000001</v>
      </c>
      <c r="E83" s="9">
        <v>3.4930639999999999</v>
      </c>
      <c r="F83" s="9">
        <f>D83-E83</f>
        <v>25.578644000000001</v>
      </c>
      <c r="G83" s="9">
        <f t="shared" si="2"/>
        <v>6.9861279999999999</v>
      </c>
      <c r="H83" s="9">
        <f t="shared" si="3"/>
        <v>0.53811386666666672</v>
      </c>
    </row>
    <row r="84" spans="1:8" x14ac:dyDescent="0.25">
      <c r="A84" s="10">
        <v>0.8</v>
      </c>
      <c r="B84" s="11">
        <v>0.36</v>
      </c>
      <c r="C84" s="17">
        <v>10.46645</v>
      </c>
      <c r="D84">
        <v>29.085591000000001</v>
      </c>
      <c r="E84" s="9">
        <v>3.5090089999999998</v>
      </c>
      <c r="F84" s="9">
        <f>D84-E84</f>
        <v>25.576582000000002</v>
      </c>
      <c r="G84" s="9">
        <f t="shared" si="2"/>
        <v>7.0180179999999996</v>
      </c>
      <c r="H84" s="9">
        <f t="shared" si="3"/>
        <v>0.53903940000000006</v>
      </c>
    </row>
    <row r="85" spans="1:8" x14ac:dyDescent="0.25">
      <c r="A85" s="10">
        <v>0.81</v>
      </c>
      <c r="B85" s="11">
        <v>0.36</v>
      </c>
      <c r="C85" s="17">
        <v>10.45546</v>
      </c>
      <c r="D85">
        <v>29.072016000000001</v>
      </c>
      <c r="E85" s="9">
        <v>3.4824799999999998</v>
      </c>
      <c r="F85" s="9">
        <f>D85-E85</f>
        <v>25.589536000000003</v>
      </c>
      <c r="G85" s="9">
        <f t="shared" si="2"/>
        <v>6.9649599999999996</v>
      </c>
      <c r="H85" s="9">
        <f t="shared" si="3"/>
        <v>0.53813440000000012</v>
      </c>
    </row>
    <row r="86" spans="1:8" x14ac:dyDescent="0.25">
      <c r="A86" s="10">
        <v>0.82</v>
      </c>
      <c r="B86" s="11">
        <v>0.36</v>
      </c>
      <c r="C86" s="17">
        <v>10.45406</v>
      </c>
      <c r="D86">
        <v>29.077017000000001</v>
      </c>
      <c r="E86" s="9">
        <v>3.4908709999999998</v>
      </c>
      <c r="F86" s="9">
        <f>D86-E86</f>
        <v>25.586146000000003</v>
      </c>
      <c r="G86" s="9">
        <f t="shared" si="2"/>
        <v>6.9817419999999997</v>
      </c>
      <c r="H86" s="9">
        <f t="shared" si="3"/>
        <v>0.53846780000000005</v>
      </c>
    </row>
    <row r="87" spans="1:8" x14ac:dyDescent="0.25">
      <c r="A87" s="10">
        <v>0.83</v>
      </c>
      <c r="B87" s="11">
        <v>0.35799999999999998</v>
      </c>
      <c r="C87" s="17">
        <v>10.3889</v>
      </c>
      <c r="D87">
        <v>29.059047</v>
      </c>
      <c r="E87" s="9">
        <v>3.4872879999999999</v>
      </c>
      <c r="F87" s="9">
        <f>D87-E87</f>
        <v>25.571759</v>
      </c>
      <c r="G87" s="9">
        <f t="shared" si="2"/>
        <v>6.9745759999999999</v>
      </c>
      <c r="H87" s="9">
        <f t="shared" si="3"/>
        <v>0.53726980000000002</v>
      </c>
    </row>
    <row r="88" spans="1:8" x14ac:dyDescent="0.25">
      <c r="A88" s="10">
        <v>0.84</v>
      </c>
      <c r="B88" s="11">
        <v>0.23499999999999999</v>
      </c>
      <c r="C88" s="17">
        <v>7.16967</v>
      </c>
      <c r="D88">
        <v>30.54693</v>
      </c>
      <c r="E88" s="9">
        <v>3.3209840000000002</v>
      </c>
      <c r="F88" s="9">
        <f>D88-E88</f>
        <v>27.225946</v>
      </c>
      <c r="G88" s="9">
        <f t="shared" si="2"/>
        <v>6.6419680000000003</v>
      </c>
      <c r="H88" s="9">
        <f t="shared" si="3"/>
        <v>0.63646199999999997</v>
      </c>
    </row>
    <row r="89" spans="1:8" x14ac:dyDescent="0.25">
      <c r="A89" s="10">
        <v>0.85</v>
      </c>
      <c r="B89" s="11">
        <v>0.23799999999999999</v>
      </c>
      <c r="C89" s="17">
        <v>7.2684600000000001</v>
      </c>
      <c r="D89">
        <v>30.578292000000001</v>
      </c>
      <c r="E89" s="9">
        <v>3.292697</v>
      </c>
      <c r="F89" s="9">
        <f>D89-E89</f>
        <v>27.285595000000001</v>
      </c>
      <c r="G89" s="9">
        <f t="shared" si="2"/>
        <v>6.585394</v>
      </c>
      <c r="H89" s="9">
        <f t="shared" si="3"/>
        <v>0.63855280000000003</v>
      </c>
    </row>
    <row r="90" spans="1:8" x14ac:dyDescent="0.25">
      <c r="A90" s="10">
        <v>0.86</v>
      </c>
      <c r="B90" s="11">
        <v>0.23699999999999999</v>
      </c>
      <c r="C90" s="17">
        <v>7.2361899999999997</v>
      </c>
      <c r="D90">
        <v>30.571145000000001</v>
      </c>
      <c r="E90" s="9">
        <v>3.3060459999999998</v>
      </c>
      <c r="F90" s="9">
        <f>D90-E90</f>
        <v>27.265099000000003</v>
      </c>
      <c r="G90" s="9">
        <f t="shared" si="2"/>
        <v>6.6120919999999996</v>
      </c>
      <c r="H90" s="9">
        <f t="shared" si="3"/>
        <v>0.63807633333333347</v>
      </c>
    </row>
    <row r="91" spans="1:8" x14ac:dyDescent="0.25">
      <c r="A91" s="10">
        <v>0.87</v>
      </c>
      <c r="B91" s="11">
        <v>0.23799999999999999</v>
      </c>
      <c r="C91" s="17">
        <v>7.2752600000000003</v>
      </c>
      <c r="D91">
        <v>30.570888</v>
      </c>
      <c r="E91" s="9">
        <v>3.2813029999999999</v>
      </c>
      <c r="F91" s="9">
        <f>D91-E91</f>
        <v>27.289584999999999</v>
      </c>
      <c r="G91" s="9">
        <f t="shared" si="2"/>
        <v>6.5626059999999997</v>
      </c>
      <c r="H91" s="9">
        <f t="shared" si="3"/>
        <v>0.63805920000000005</v>
      </c>
    </row>
    <row r="92" spans="1:8" x14ac:dyDescent="0.25">
      <c r="A92" s="10">
        <v>0.88</v>
      </c>
      <c r="B92" s="11">
        <v>0.23499999999999999</v>
      </c>
      <c r="C92" s="17">
        <v>7.2020400000000002</v>
      </c>
      <c r="D92">
        <v>30.636548999999999</v>
      </c>
      <c r="E92" s="9">
        <v>3.2923249999999999</v>
      </c>
      <c r="F92" s="9">
        <f>D92-E92</f>
        <v>27.344223999999997</v>
      </c>
      <c r="G92" s="9">
        <f t="shared" si="2"/>
        <v>6.5846499999999999</v>
      </c>
      <c r="H92" s="9">
        <f t="shared" si="3"/>
        <v>0.64243659999999991</v>
      </c>
    </row>
    <row r="93" spans="1:8" x14ac:dyDescent="0.25">
      <c r="A93" s="10">
        <v>0.89</v>
      </c>
      <c r="B93" s="11">
        <v>0.23599999999999999</v>
      </c>
      <c r="C93" s="17">
        <v>7.2053700000000003</v>
      </c>
      <c r="D93">
        <v>30.588258</v>
      </c>
      <c r="E93" s="9">
        <v>3.2726060000000001</v>
      </c>
      <c r="F93" s="9">
        <f>D93-E93</f>
        <v>27.315652</v>
      </c>
      <c r="G93" s="9">
        <f t="shared" si="2"/>
        <v>6.5452120000000003</v>
      </c>
      <c r="H93" s="9">
        <f t="shared" si="3"/>
        <v>0.63921719999999993</v>
      </c>
    </row>
    <row r="94" spans="1:8" x14ac:dyDescent="0.25">
      <c r="A94" s="10">
        <v>0.9</v>
      </c>
      <c r="B94" s="11">
        <v>0.23699999999999999</v>
      </c>
      <c r="C94" s="17">
        <v>7.2459899999999999</v>
      </c>
      <c r="D94">
        <v>30.589286000000001</v>
      </c>
      <c r="E94" s="9">
        <v>3.322889</v>
      </c>
      <c r="F94" s="9">
        <f>D94-E94</f>
        <v>27.266397000000001</v>
      </c>
      <c r="G94" s="9">
        <f t="shared" si="2"/>
        <v>6.645778</v>
      </c>
      <c r="H94" s="9">
        <f t="shared" si="3"/>
        <v>0.63928573333333338</v>
      </c>
    </row>
    <row r="95" spans="1:8" x14ac:dyDescent="0.25">
      <c r="A95" s="10">
        <v>0.91</v>
      </c>
      <c r="B95" s="11">
        <v>0.23400000000000001</v>
      </c>
      <c r="C95" s="17">
        <v>7.1567499999999997</v>
      </c>
      <c r="D95">
        <v>30.622351999999999</v>
      </c>
      <c r="E95" s="9">
        <v>3.3032059999999999</v>
      </c>
      <c r="F95" s="9">
        <f>D95-E95</f>
        <v>27.319146</v>
      </c>
      <c r="G95" s="9">
        <f t="shared" si="2"/>
        <v>6.6064119999999997</v>
      </c>
      <c r="H95" s="9">
        <f t="shared" si="3"/>
        <v>0.64149013333333327</v>
      </c>
    </row>
    <row r="96" spans="1:8" x14ac:dyDescent="0.25">
      <c r="A96" s="10">
        <v>0.92</v>
      </c>
      <c r="B96" s="11">
        <v>0.23499999999999999</v>
      </c>
      <c r="C96" s="17">
        <v>7.1936200000000001</v>
      </c>
      <c r="D96">
        <v>30.548750999999999</v>
      </c>
      <c r="E96" s="9">
        <v>3.3224269999999998</v>
      </c>
      <c r="F96" s="9">
        <f>D96-E96</f>
        <v>27.226323999999998</v>
      </c>
      <c r="G96" s="9">
        <f t="shared" si="2"/>
        <v>6.6448539999999996</v>
      </c>
      <c r="H96" s="9">
        <f t="shared" si="3"/>
        <v>0.63658339999999991</v>
      </c>
    </row>
    <row r="97" spans="1:8" x14ac:dyDescent="0.25">
      <c r="A97" s="10">
        <v>0.93</v>
      </c>
      <c r="B97" s="11">
        <v>0.23200000000000001</v>
      </c>
      <c r="C97" s="17">
        <v>7.10379</v>
      </c>
      <c r="D97">
        <v>30.569713</v>
      </c>
      <c r="E97" s="9">
        <v>3.32531</v>
      </c>
      <c r="F97" s="9">
        <f>D97-E97</f>
        <v>27.244402999999998</v>
      </c>
      <c r="G97" s="9">
        <f t="shared" si="2"/>
        <v>6.65062</v>
      </c>
      <c r="H97" s="9">
        <f t="shared" si="3"/>
        <v>0.63798086666666665</v>
      </c>
    </row>
    <row r="98" spans="1:8" x14ac:dyDescent="0.25">
      <c r="A98" s="10">
        <v>0.94</v>
      </c>
      <c r="B98" s="11">
        <v>0.23400000000000001</v>
      </c>
      <c r="C98" s="17">
        <v>7.1646799999999997</v>
      </c>
      <c r="D98">
        <v>30.559522000000001</v>
      </c>
      <c r="E98" s="9">
        <v>3.3383600000000002</v>
      </c>
      <c r="F98" s="9">
        <f>D98-E98</f>
        <v>27.221162</v>
      </c>
      <c r="G98" s="9">
        <f t="shared" si="2"/>
        <v>6.6767200000000004</v>
      </c>
      <c r="H98" s="9">
        <f t="shared" si="3"/>
        <v>0.63730146666666676</v>
      </c>
    </row>
    <row r="99" spans="1:8" x14ac:dyDescent="0.25">
      <c r="A99" s="10">
        <v>0.95</v>
      </c>
      <c r="B99" s="11">
        <v>0.23300000000000001</v>
      </c>
      <c r="C99" s="17">
        <v>7.1100399999999997</v>
      </c>
      <c r="D99">
        <v>30.551908000000001</v>
      </c>
      <c r="E99" s="9">
        <v>3.3606250000000002</v>
      </c>
      <c r="F99" s="9">
        <f>D99-E99</f>
        <v>27.191283000000002</v>
      </c>
      <c r="G99" s="9">
        <f t="shared" si="2"/>
        <v>6.7212500000000004</v>
      </c>
      <c r="H99" s="9">
        <f t="shared" si="3"/>
        <v>0.63679386666666671</v>
      </c>
    </row>
    <row r="100" spans="1:8" x14ac:dyDescent="0.25">
      <c r="A100" s="10">
        <v>0.96</v>
      </c>
      <c r="B100" s="11">
        <v>0.22900000000000001</v>
      </c>
      <c r="C100" s="17">
        <v>7.0165300000000004</v>
      </c>
      <c r="D100">
        <v>30.662631999999999</v>
      </c>
      <c r="E100" s="9">
        <v>3.350463</v>
      </c>
      <c r="F100" s="9">
        <f>D100-E100</f>
        <v>27.312168999999997</v>
      </c>
      <c r="G100" s="9">
        <f t="shared" si="2"/>
        <v>6.7009259999999999</v>
      </c>
      <c r="H100" s="9">
        <f t="shared" si="3"/>
        <v>0.64417546666666659</v>
      </c>
    </row>
    <row r="101" spans="1:8" x14ac:dyDescent="0.25">
      <c r="A101" s="10">
        <v>0.97</v>
      </c>
      <c r="B101" s="11">
        <v>0.22800000000000001</v>
      </c>
      <c r="C101" s="17">
        <v>6.9814400000000001</v>
      </c>
      <c r="D101">
        <v>30.617664999999999</v>
      </c>
      <c r="E101" s="9">
        <v>3.3319730000000001</v>
      </c>
      <c r="F101" s="9">
        <f>D101-E101</f>
        <v>27.285691999999997</v>
      </c>
      <c r="G101" s="9">
        <f t="shared" si="2"/>
        <v>6.6639460000000001</v>
      </c>
      <c r="H101" s="9">
        <f t="shared" si="3"/>
        <v>0.64117766666666653</v>
      </c>
    </row>
    <row r="102" spans="1:8" x14ac:dyDescent="0.25">
      <c r="A102" s="10">
        <v>0.98</v>
      </c>
      <c r="B102" s="11">
        <v>0.23</v>
      </c>
      <c r="C102" s="17">
        <v>7.0400999999999998</v>
      </c>
      <c r="D102">
        <v>30.598486999999999</v>
      </c>
      <c r="E102" s="9">
        <v>3.3815439999999999</v>
      </c>
      <c r="F102" s="9">
        <f>D102-E102</f>
        <v>27.216943000000001</v>
      </c>
      <c r="G102" s="9">
        <f t="shared" si="2"/>
        <v>6.7630879999999998</v>
      </c>
      <c r="H102" s="9">
        <f t="shared" si="3"/>
        <v>0.63989913333333326</v>
      </c>
    </row>
    <row r="103" spans="1:8" x14ac:dyDescent="0.25">
      <c r="A103" s="10">
        <v>0.99</v>
      </c>
      <c r="B103" s="11">
        <v>0.221</v>
      </c>
      <c r="C103" s="17">
        <v>6.7599099999999996</v>
      </c>
      <c r="D103">
        <v>30.615534</v>
      </c>
      <c r="E103" s="9">
        <v>3.4232879999999999</v>
      </c>
      <c r="F103" s="9">
        <f>D103-E103</f>
        <v>27.192246000000001</v>
      </c>
      <c r="G103" s="9">
        <f t="shared" si="2"/>
        <v>6.8465759999999998</v>
      </c>
      <c r="H103" s="9">
        <f t="shared" si="3"/>
        <v>0.64103560000000004</v>
      </c>
    </row>
    <row r="104" spans="1:8" x14ac:dyDescent="0.25">
      <c r="A104" s="10">
        <v>1</v>
      </c>
      <c r="B104" s="11">
        <v>0.216</v>
      </c>
      <c r="C104" s="17">
        <v>6.4766500000000002</v>
      </c>
      <c r="D104">
        <v>30.040120999999999</v>
      </c>
      <c r="E104" s="9">
        <v>3.8272309999999998</v>
      </c>
      <c r="F104" s="9">
        <f>D104-E104</f>
        <v>26.212889999999998</v>
      </c>
      <c r="G104" s="9">
        <f t="shared" si="2"/>
        <v>7.6544619999999997</v>
      </c>
      <c r="H104" s="9">
        <f t="shared" si="3"/>
        <v>0.60267473333333332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opLeftCell="A58" workbookViewId="0">
      <selection activeCell="E1" sqref="E1:E101"/>
    </sheetView>
  </sheetViews>
  <sheetFormatPr defaultRowHeight="15" x14ac:dyDescent="0.25"/>
  <sheetData>
    <row r="1" spans="1:5" x14ac:dyDescent="0.25">
      <c r="A1">
        <v>0</v>
      </c>
      <c r="B1" s="8">
        <v>0.89100000000000001</v>
      </c>
      <c r="C1">
        <v>20.541779999999999</v>
      </c>
      <c r="D1">
        <v>23.044919</v>
      </c>
      <c r="E1">
        <v>2.3979689999999998</v>
      </c>
    </row>
    <row r="2" spans="1:5" x14ac:dyDescent="0.25">
      <c r="A2">
        <v>0.01</v>
      </c>
      <c r="B2" s="8">
        <v>0.89300000000000002</v>
      </c>
      <c r="C2">
        <v>21.179390000000001</v>
      </c>
      <c r="D2">
        <v>23.718450000000001</v>
      </c>
      <c r="E2">
        <v>2.5007090000000001</v>
      </c>
    </row>
    <row r="3" spans="1:5" x14ac:dyDescent="0.25">
      <c r="A3">
        <v>0.02</v>
      </c>
      <c r="B3" s="8">
        <v>0.89300000000000002</v>
      </c>
      <c r="C3">
        <v>21.220870000000001</v>
      </c>
      <c r="D3">
        <v>23.763838</v>
      </c>
      <c r="E3">
        <v>2.5073439999999998</v>
      </c>
    </row>
    <row r="4" spans="1:5" x14ac:dyDescent="0.25">
      <c r="A4">
        <v>0.03</v>
      </c>
      <c r="B4" s="8">
        <v>0.89200000000000002</v>
      </c>
      <c r="C4">
        <v>21.1873</v>
      </c>
      <c r="D4">
        <v>23.7651</v>
      </c>
      <c r="E4">
        <v>2.516556</v>
      </c>
    </row>
    <row r="5" spans="1:5" x14ac:dyDescent="0.25">
      <c r="A5">
        <v>0.04</v>
      </c>
      <c r="B5" s="8">
        <v>0.88800000000000001</v>
      </c>
      <c r="C5">
        <v>21.594259999999998</v>
      </c>
      <c r="D5">
        <v>24.327175</v>
      </c>
      <c r="E5">
        <v>2.9534959999999999</v>
      </c>
    </row>
    <row r="6" spans="1:5" x14ac:dyDescent="0.25">
      <c r="A6">
        <v>0.05</v>
      </c>
      <c r="B6" s="8">
        <v>0.88700000000000001</v>
      </c>
      <c r="C6">
        <v>21.572299999999998</v>
      </c>
      <c r="D6">
        <v>24.317777</v>
      </c>
      <c r="E6">
        <v>2.9431080000000001</v>
      </c>
    </row>
    <row r="7" spans="1:5" x14ac:dyDescent="0.25">
      <c r="A7">
        <v>0.06</v>
      </c>
      <c r="B7" s="8">
        <v>0.88800000000000001</v>
      </c>
      <c r="C7">
        <v>21.629149999999999</v>
      </c>
      <c r="D7">
        <v>24.348376999999999</v>
      </c>
      <c r="E7">
        <v>2.949392</v>
      </c>
    </row>
    <row r="8" spans="1:5" x14ac:dyDescent="0.25">
      <c r="A8">
        <v>7.0000000000000007E-2</v>
      </c>
      <c r="B8" s="8">
        <v>0.88900000000000001</v>
      </c>
      <c r="C8">
        <v>21.648160000000001</v>
      </c>
      <c r="D8">
        <v>24.347850000000001</v>
      </c>
      <c r="E8">
        <v>2.9527299999999999</v>
      </c>
    </row>
    <row r="9" spans="1:5" x14ac:dyDescent="0.25">
      <c r="A9">
        <v>0.08</v>
      </c>
      <c r="B9" s="8">
        <v>0.88900000000000001</v>
      </c>
      <c r="C9">
        <v>21.634609999999999</v>
      </c>
      <c r="D9">
        <v>24.332062000000001</v>
      </c>
      <c r="E9">
        <v>2.9502950000000001</v>
      </c>
    </row>
    <row r="10" spans="1:5" x14ac:dyDescent="0.25">
      <c r="A10">
        <v>0.09</v>
      </c>
      <c r="B10" s="8">
        <v>0.88700000000000001</v>
      </c>
      <c r="C10">
        <v>21.586300000000001</v>
      </c>
      <c r="D10">
        <v>24.333010000000002</v>
      </c>
      <c r="E10">
        <v>2.9529909999999999</v>
      </c>
    </row>
    <row r="11" spans="1:5" x14ac:dyDescent="0.25">
      <c r="A11">
        <v>0.1</v>
      </c>
      <c r="B11" s="8">
        <v>0.88700000000000001</v>
      </c>
      <c r="C11">
        <v>21.60783</v>
      </c>
      <c r="D11">
        <v>24.357279999999999</v>
      </c>
      <c r="E11">
        <v>2.964483</v>
      </c>
    </row>
    <row r="12" spans="1:5" x14ac:dyDescent="0.25">
      <c r="A12">
        <v>0.11</v>
      </c>
      <c r="B12" s="8">
        <v>0.88800000000000001</v>
      </c>
      <c r="C12">
        <v>21.582619999999999</v>
      </c>
      <c r="D12">
        <v>24.314336000000001</v>
      </c>
      <c r="E12">
        <v>2.938717</v>
      </c>
    </row>
    <row r="13" spans="1:5" x14ac:dyDescent="0.25">
      <c r="A13">
        <v>0.12</v>
      </c>
      <c r="B13" s="8">
        <v>0.88400000000000001</v>
      </c>
      <c r="C13">
        <v>21.605899999999998</v>
      </c>
      <c r="D13">
        <v>24.443275</v>
      </c>
      <c r="E13">
        <v>3.1371880000000001</v>
      </c>
    </row>
    <row r="14" spans="1:5" x14ac:dyDescent="0.25">
      <c r="A14">
        <v>0.13</v>
      </c>
      <c r="B14" s="8">
        <v>0.84699999999999998</v>
      </c>
      <c r="C14">
        <v>21.544509999999999</v>
      </c>
      <c r="D14">
        <v>25.426651</v>
      </c>
      <c r="E14">
        <v>3.0927060000000002</v>
      </c>
    </row>
    <row r="15" spans="1:5" x14ac:dyDescent="0.25">
      <c r="A15">
        <v>0.14000000000000001</v>
      </c>
      <c r="B15" s="8">
        <v>0.85</v>
      </c>
      <c r="C15">
        <v>21.60427</v>
      </c>
      <c r="D15">
        <v>25.429352999999999</v>
      </c>
      <c r="E15">
        <v>3.0830060000000001</v>
      </c>
    </row>
    <row r="16" spans="1:5" x14ac:dyDescent="0.25">
      <c r="A16">
        <v>0.15</v>
      </c>
      <c r="B16" s="8">
        <v>0.85099999999999998</v>
      </c>
      <c r="C16">
        <v>21.652259999999998</v>
      </c>
      <c r="D16">
        <v>25.451388999999999</v>
      </c>
      <c r="E16">
        <v>3.0961029999999998</v>
      </c>
    </row>
    <row r="17" spans="1:5" x14ac:dyDescent="0.25">
      <c r="A17">
        <v>0.16</v>
      </c>
      <c r="B17" s="8">
        <v>0.85099999999999998</v>
      </c>
      <c r="C17">
        <v>21.624649999999999</v>
      </c>
      <c r="D17">
        <v>25.424911999999999</v>
      </c>
      <c r="E17">
        <v>3.0871200000000001</v>
      </c>
    </row>
    <row r="18" spans="1:5" x14ac:dyDescent="0.25">
      <c r="A18">
        <v>0.17</v>
      </c>
      <c r="B18" s="8">
        <v>0.84899999999999998</v>
      </c>
      <c r="C18">
        <v>21.59329</v>
      </c>
      <c r="D18">
        <v>25.429300000000001</v>
      </c>
      <c r="E18">
        <v>3.0940590000000001</v>
      </c>
    </row>
    <row r="19" spans="1:5" x14ac:dyDescent="0.25">
      <c r="A19">
        <v>0.18</v>
      </c>
      <c r="B19" s="8">
        <v>0.85</v>
      </c>
      <c r="C19">
        <v>21.593139999999998</v>
      </c>
      <c r="D19">
        <v>25.416253000000001</v>
      </c>
      <c r="E19">
        <v>3.0696720000000002</v>
      </c>
    </row>
    <row r="20" spans="1:5" x14ac:dyDescent="0.25">
      <c r="A20">
        <v>0.19</v>
      </c>
      <c r="B20" s="8">
        <v>0.84799999999999998</v>
      </c>
      <c r="C20">
        <v>21.59807</v>
      </c>
      <c r="D20">
        <v>25.469422000000002</v>
      </c>
      <c r="E20">
        <v>3.089191</v>
      </c>
    </row>
    <row r="21" spans="1:5" x14ac:dyDescent="0.25">
      <c r="A21">
        <v>0.2</v>
      </c>
      <c r="B21" s="8">
        <v>0.84899999999999998</v>
      </c>
      <c r="C21">
        <v>21.606490000000001</v>
      </c>
      <c r="D21">
        <v>25.458335999999999</v>
      </c>
      <c r="E21">
        <v>3.0922809999999998</v>
      </c>
    </row>
    <row r="22" spans="1:5" x14ac:dyDescent="0.25">
      <c r="A22">
        <v>0.21</v>
      </c>
      <c r="B22" s="8">
        <v>0.84699999999999998</v>
      </c>
      <c r="C22">
        <v>21.584009999999999</v>
      </c>
      <c r="D22">
        <v>25.489813999999999</v>
      </c>
      <c r="E22">
        <v>3.092571</v>
      </c>
    </row>
    <row r="23" spans="1:5" x14ac:dyDescent="0.25">
      <c r="A23">
        <v>0.22</v>
      </c>
      <c r="B23" s="8">
        <v>0.84799999999999998</v>
      </c>
      <c r="C23">
        <v>21.686109999999999</v>
      </c>
      <c r="D23">
        <v>25.579577</v>
      </c>
      <c r="E23">
        <v>3.127513</v>
      </c>
    </row>
    <row r="24" spans="1:5" x14ac:dyDescent="0.25">
      <c r="A24">
        <v>0.23</v>
      </c>
      <c r="B24" s="8">
        <v>0.84499999999999997</v>
      </c>
      <c r="C24">
        <v>21.61872</v>
      </c>
      <c r="D24">
        <v>25.576111999999998</v>
      </c>
      <c r="E24">
        <v>3.131291</v>
      </c>
    </row>
    <row r="25" spans="1:5" x14ac:dyDescent="0.25">
      <c r="A25">
        <v>0.24</v>
      </c>
      <c r="B25" s="8">
        <v>0.84399999999999997</v>
      </c>
      <c r="C25">
        <v>21.590009999999999</v>
      </c>
      <c r="D25">
        <v>25.576338</v>
      </c>
      <c r="E25">
        <v>3.1194609999999998</v>
      </c>
    </row>
    <row r="26" spans="1:5" x14ac:dyDescent="0.25">
      <c r="A26">
        <v>0.25</v>
      </c>
      <c r="B26" s="8">
        <v>0.78200000000000003</v>
      </c>
      <c r="C26">
        <v>20.54926</v>
      </c>
      <c r="D26">
        <v>26.286902000000001</v>
      </c>
      <c r="E26">
        <v>3.541331</v>
      </c>
    </row>
    <row r="27" spans="1:5" x14ac:dyDescent="0.25">
      <c r="A27">
        <v>0.26</v>
      </c>
      <c r="B27" s="8">
        <v>0.78300000000000003</v>
      </c>
      <c r="C27">
        <v>20.588979999999999</v>
      </c>
      <c r="D27">
        <v>26.299696000000001</v>
      </c>
      <c r="E27">
        <v>3.534796</v>
      </c>
    </row>
    <row r="28" spans="1:5" x14ac:dyDescent="0.25">
      <c r="A28">
        <v>0.27</v>
      </c>
      <c r="B28" s="8">
        <v>0.78300000000000003</v>
      </c>
      <c r="C28">
        <v>20.579550000000001</v>
      </c>
      <c r="D28">
        <v>26.292016</v>
      </c>
      <c r="E28">
        <v>3.5354290000000002</v>
      </c>
    </row>
    <row r="29" spans="1:5" x14ac:dyDescent="0.25">
      <c r="A29">
        <v>0.28000000000000003</v>
      </c>
      <c r="B29" s="8">
        <v>0.78100000000000003</v>
      </c>
      <c r="C29">
        <v>20.540849999999999</v>
      </c>
      <c r="D29">
        <v>26.301041000000001</v>
      </c>
      <c r="E29">
        <v>3.532254</v>
      </c>
    </row>
    <row r="30" spans="1:5" x14ac:dyDescent="0.25">
      <c r="A30">
        <v>0.28999999999999998</v>
      </c>
      <c r="B30" s="8">
        <v>0.78200000000000003</v>
      </c>
      <c r="C30">
        <v>20.557089999999999</v>
      </c>
      <c r="D30">
        <v>26.296918000000002</v>
      </c>
      <c r="E30">
        <v>3.513239</v>
      </c>
    </row>
    <row r="31" spans="1:5" x14ac:dyDescent="0.25">
      <c r="A31">
        <v>0.3</v>
      </c>
      <c r="B31" s="8">
        <v>0.76400000000000001</v>
      </c>
      <c r="C31">
        <v>20.312239999999999</v>
      </c>
      <c r="D31">
        <v>26.594360000000002</v>
      </c>
      <c r="E31">
        <v>3.3405140000000002</v>
      </c>
    </row>
    <row r="32" spans="1:5" x14ac:dyDescent="0.25">
      <c r="A32">
        <v>0.31</v>
      </c>
      <c r="B32" s="8">
        <v>0.76100000000000001</v>
      </c>
      <c r="C32">
        <v>20.212219999999999</v>
      </c>
      <c r="D32">
        <v>26.569506000000001</v>
      </c>
      <c r="E32">
        <v>3.3518430000000001</v>
      </c>
    </row>
    <row r="33" spans="1:5" x14ac:dyDescent="0.25">
      <c r="A33">
        <v>0.32</v>
      </c>
      <c r="B33" s="8">
        <v>0.76300000000000001</v>
      </c>
      <c r="C33">
        <v>20.254490000000001</v>
      </c>
      <c r="D33">
        <v>26.559434</v>
      </c>
      <c r="E33">
        <v>3.3557350000000001</v>
      </c>
    </row>
    <row r="34" spans="1:5" x14ac:dyDescent="0.25">
      <c r="A34">
        <v>0.33</v>
      </c>
      <c r="B34" s="8">
        <v>0.76300000000000001</v>
      </c>
      <c r="C34">
        <v>20.248290000000001</v>
      </c>
      <c r="D34">
        <v>26.552349</v>
      </c>
      <c r="E34">
        <v>3.3581210000000001</v>
      </c>
    </row>
    <row r="35" spans="1:5" x14ac:dyDescent="0.25">
      <c r="A35">
        <v>0.34</v>
      </c>
      <c r="B35" s="8">
        <v>0.76200000000000001</v>
      </c>
      <c r="C35">
        <v>20.226600000000001</v>
      </c>
      <c r="D35">
        <v>26.555595</v>
      </c>
      <c r="E35">
        <v>3.375203</v>
      </c>
    </row>
    <row r="36" spans="1:5" x14ac:dyDescent="0.25">
      <c r="A36">
        <v>0.35</v>
      </c>
      <c r="B36" s="8">
        <v>0.76300000000000001</v>
      </c>
      <c r="C36">
        <v>20.263940000000002</v>
      </c>
      <c r="D36">
        <v>26.568342000000001</v>
      </c>
      <c r="E36">
        <v>3.3836040000000001</v>
      </c>
    </row>
    <row r="37" spans="1:5" x14ac:dyDescent="0.25">
      <c r="A37">
        <v>0.36</v>
      </c>
      <c r="B37" s="8">
        <v>0.76</v>
      </c>
      <c r="C37">
        <v>20.164200000000001</v>
      </c>
      <c r="D37">
        <v>26.545114999999999</v>
      </c>
      <c r="E37">
        <v>3.358266</v>
      </c>
    </row>
    <row r="38" spans="1:5" x14ac:dyDescent="0.25">
      <c r="A38">
        <v>0.37</v>
      </c>
      <c r="B38" s="8">
        <v>0.76</v>
      </c>
      <c r="C38">
        <v>20.15043</v>
      </c>
      <c r="D38">
        <v>26.520354000000001</v>
      </c>
      <c r="E38">
        <v>3.3500220000000001</v>
      </c>
    </row>
    <row r="39" spans="1:5" x14ac:dyDescent="0.25">
      <c r="A39">
        <v>0.38</v>
      </c>
      <c r="B39" s="8">
        <v>0.75800000000000001</v>
      </c>
      <c r="C39">
        <v>20.169219999999999</v>
      </c>
      <c r="D39">
        <v>26.613385000000001</v>
      </c>
      <c r="E39">
        <v>3.3997519999999999</v>
      </c>
    </row>
    <row r="40" spans="1:5" x14ac:dyDescent="0.25">
      <c r="A40">
        <v>0.39</v>
      </c>
      <c r="B40" s="8">
        <v>0.75800000000000001</v>
      </c>
      <c r="C40">
        <v>20.196020000000001</v>
      </c>
      <c r="D40">
        <v>26.629773</v>
      </c>
      <c r="E40">
        <v>3.3910580000000001</v>
      </c>
    </row>
    <row r="41" spans="1:5" x14ac:dyDescent="0.25">
      <c r="A41">
        <v>0.4</v>
      </c>
      <c r="B41" s="8">
        <v>0.75900000000000001</v>
      </c>
      <c r="C41">
        <v>20.191210000000002</v>
      </c>
      <c r="D41">
        <v>26.61571</v>
      </c>
      <c r="E41">
        <v>3.4061569999999999</v>
      </c>
    </row>
    <row r="42" spans="1:5" x14ac:dyDescent="0.25">
      <c r="A42">
        <v>0.41</v>
      </c>
      <c r="B42" s="8">
        <v>0.752</v>
      </c>
      <c r="C42">
        <v>20.126290000000001</v>
      </c>
      <c r="D42">
        <v>26.755144999999999</v>
      </c>
      <c r="E42">
        <v>3.4172220000000002</v>
      </c>
    </row>
    <row r="43" spans="1:5" x14ac:dyDescent="0.25">
      <c r="A43">
        <v>0.42</v>
      </c>
      <c r="B43" s="8">
        <v>0.751</v>
      </c>
      <c r="C43">
        <v>20.101990000000001</v>
      </c>
      <c r="D43">
        <v>26.7577</v>
      </c>
      <c r="E43">
        <v>3.394879</v>
      </c>
    </row>
    <row r="44" spans="1:5" x14ac:dyDescent="0.25">
      <c r="A44">
        <v>0.43</v>
      </c>
      <c r="B44" s="8">
        <v>0.752</v>
      </c>
      <c r="C44">
        <v>20.141580000000001</v>
      </c>
      <c r="D44">
        <v>26.772978999999999</v>
      </c>
      <c r="E44">
        <v>3.413713</v>
      </c>
    </row>
    <row r="45" spans="1:5" x14ac:dyDescent="0.25">
      <c r="A45">
        <v>0.44</v>
      </c>
      <c r="B45" s="8">
        <v>0.746</v>
      </c>
      <c r="C45">
        <v>19.984660000000002</v>
      </c>
      <c r="D45">
        <v>26.796990999999998</v>
      </c>
      <c r="E45">
        <v>3.4153989999999999</v>
      </c>
    </row>
    <row r="46" spans="1:5" x14ac:dyDescent="0.25">
      <c r="A46">
        <v>0.45</v>
      </c>
      <c r="B46" s="8">
        <v>0.61899999999999999</v>
      </c>
      <c r="C46">
        <v>17.229140000000001</v>
      </c>
      <c r="D46">
        <v>27.831130999999999</v>
      </c>
      <c r="E46">
        <v>3.2143419999999998</v>
      </c>
    </row>
    <row r="47" spans="1:5" x14ac:dyDescent="0.25">
      <c r="A47">
        <v>0.46</v>
      </c>
      <c r="B47" s="8">
        <v>0.62</v>
      </c>
      <c r="C47">
        <v>17.275829999999999</v>
      </c>
      <c r="D47">
        <v>27.869185999999999</v>
      </c>
      <c r="E47">
        <v>3.198096</v>
      </c>
    </row>
    <row r="48" spans="1:5" x14ac:dyDescent="0.25">
      <c r="A48">
        <v>0.47</v>
      </c>
      <c r="B48" s="8">
        <v>0.61799999999999999</v>
      </c>
      <c r="C48">
        <v>17.213840000000001</v>
      </c>
      <c r="D48">
        <v>27.862676</v>
      </c>
      <c r="E48">
        <v>3.21699</v>
      </c>
    </row>
    <row r="49" spans="1:5" x14ac:dyDescent="0.25">
      <c r="A49">
        <v>0.48</v>
      </c>
      <c r="B49" s="8">
        <v>0.621</v>
      </c>
      <c r="C49">
        <v>17.282779999999999</v>
      </c>
      <c r="D49">
        <v>27.852540999999999</v>
      </c>
      <c r="E49">
        <v>3.2082549999999999</v>
      </c>
    </row>
    <row r="50" spans="1:5" x14ac:dyDescent="0.25">
      <c r="A50">
        <v>0.49</v>
      </c>
      <c r="B50" s="8">
        <v>0.62</v>
      </c>
      <c r="C50">
        <v>17.276</v>
      </c>
      <c r="D50">
        <v>27.879355</v>
      </c>
      <c r="E50">
        <v>3.194337</v>
      </c>
    </row>
    <row r="51" spans="1:5" x14ac:dyDescent="0.25">
      <c r="A51">
        <v>0.5</v>
      </c>
      <c r="B51" s="8">
        <v>0.623</v>
      </c>
      <c r="C51">
        <v>17.36289</v>
      </c>
      <c r="D51">
        <v>27.869807000000002</v>
      </c>
      <c r="E51">
        <v>3.1954549999999999</v>
      </c>
    </row>
    <row r="52" spans="1:5" x14ac:dyDescent="0.25">
      <c r="A52">
        <v>0.51</v>
      </c>
      <c r="B52" s="8">
        <v>0.57599999999999996</v>
      </c>
      <c r="C52">
        <v>16.078959999999999</v>
      </c>
      <c r="D52">
        <v>27.895973000000001</v>
      </c>
      <c r="E52">
        <v>3.3311540000000002</v>
      </c>
    </row>
    <row r="53" spans="1:5" x14ac:dyDescent="0.25">
      <c r="A53">
        <v>0.52</v>
      </c>
      <c r="B53" s="8">
        <v>0.57399999999999995</v>
      </c>
      <c r="C53">
        <v>16.023070000000001</v>
      </c>
      <c r="D53">
        <v>27.907948999999999</v>
      </c>
      <c r="E53">
        <v>3.3427129999999998</v>
      </c>
    </row>
    <row r="54" spans="1:5" x14ac:dyDescent="0.25">
      <c r="A54">
        <v>0.53</v>
      </c>
      <c r="B54" s="8">
        <v>0.57599999999999996</v>
      </c>
      <c r="C54">
        <v>16.08549</v>
      </c>
      <c r="D54">
        <v>27.922319999999999</v>
      </c>
      <c r="E54">
        <v>3.3284310000000001</v>
      </c>
    </row>
    <row r="55" spans="1:5" x14ac:dyDescent="0.25">
      <c r="A55">
        <v>0.54</v>
      </c>
      <c r="B55" s="8">
        <v>0.57599999999999996</v>
      </c>
      <c r="C55">
        <v>16.064730000000001</v>
      </c>
      <c r="D55">
        <v>27.885798999999999</v>
      </c>
      <c r="E55">
        <v>3.3424230000000001</v>
      </c>
    </row>
    <row r="56" spans="1:5" x14ac:dyDescent="0.25">
      <c r="A56">
        <v>0.55000000000000004</v>
      </c>
      <c r="B56" s="8">
        <v>0.57499999999999996</v>
      </c>
      <c r="C56">
        <v>16.045719999999999</v>
      </c>
      <c r="D56">
        <v>27.891048000000001</v>
      </c>
      <c r="E56">
        <v>3.3400349999999999</v>
      </c>
    </row>
    <row r="57" spans="1:5" x14ac:dyDescent="0.25">
      <c r="A57">
        <v>0.56000000000000005</v>
      </c>
      <c r="B57" s="8">
        <v>0.57499999999999996</v>
      </c>
      <c r="C57">
        <v>16.043510000000001</v>
      </c>
      <c r="D57">
        <v>27.905639000000001</v>
      </c>
      <c r="E57">
        <v>3.3597709999999998</v>
      </c>
    </row>
    <row r="58" spans="1:5" x14ac:dyDescent="0.25">
      <c r="A58">
        <v>0.56999999999999995</v>
      </c>
      <c r="B58" s="8">
        <v>0.57799999999999996</v>
      </c>
      <c r="C58">
        <v>16.128530000000001</v>
      </c>
      <c r="D58">
        <v>27.890038000000001</v>
      </c>
      <c r="E58">
        <v>3.3381319999999999</v>
      </c>
    </row>
    <row r="59" spans="1:5" x14ac:dyDescent="0.25">
      <c r="A59">
        <v>0.57999999999999996</v>
      </c>
      <c r="B59" s="8">
        <v>0.57599999999999996</v>
      </c>
      <c r="C59">
        <v>16.062660000000001</v>
      </c>
      <c r="D59">
        <v>27.888498999999999</v>
      </c>
      <c r="E59">
        <v>3.3326730000000002</v>
      </c>
    </row>
    <row r="60" spans="1:5" x14ac:dyDescent="0.25">
      <c r="A60">
        <v>0.59</v>
      </c>
      <c r="B60" s="8">
        <v>0.57699999999999996</v>
      </c>
      <c r="C60">
        <v>16.107119999999998</v>
      </c>
      <c r="D60">
        <v>27.906096999999999</v>
      </c>
      <c r="E60">
        <v>3.3397480000000002</v>
      </c>
    </row>
    <row r="61" spans="1:5" x14ac:dyDescent="0.25">
      <c r="A61">
        <v>0.6</v>
      </c>
      <c r="B61" s="8">
        <v>0.57499999999999996</v>
      </c>
      <c r="C61">
        <v>16.03059</v>
      </c>
      <c r="D61">
        <v>27.902094000000002</v>
      </c>
      <c r="E61">
        <v>3.3355980000000001</v>
      </c>
    </row>
    <row r="62" spans="1:5" x14ac:dyDescent="0.25">
      <c r="A62">
        <v>0.61</v>
      </c>
      <c r="B62" s="8">
        <v>0.57399999999999995</v>
      </c>
      <c r="C62">
        <v>16.0442</v>
      </c>
      <c r="D62">
        <v>27.956437999999999</v>
      </c>
      <c r="E62">
        <v>3.3663799999999999</v>
      </c>
    </row>
    <row r="63" spans="1:5" x14ac:dyDescent="0.25">
      <c r="A63">
        <v>0.62</v>
      </c>
      <c r="B63" s="8">
        <v>0.56599999999999995</v>
      </c>
      <c r="C63">
        <v>15.8675</v>
      </c>
      <c r="D63">
        <v>28.018117</v>
      </c>
      <c r="E63">
        <v>3.3803480000000001</v>
      </c>
    </row>
    <row r="64" spans="1:5" x14ac:dyDescent="0.25">
      <c r="A64">
        <v>0.63</v>
      </c>
      <c r="B64" s="8">
        <v>0.56299999999999994</v>
      </c>
      <c r="C64">
        <v>15.82741</v>
      </c>
      <c r="D64">
        <v>28.118621999999998</v>
      </c>
      <c r="E64">
        <v>3.3838460000000001</v>
      </c>
    </row>
    <row r="65" spans="1:5" x14ac:dyDescent="0.25">
      <c r="A65">
        <v>0.64</v>
      </c>
      <c r="B65" s="8">
        <v>0.56100000000000005</v>
      </c>
      <c r="C65">
        <v>15.783250000000001</v>
      </c>
      <c r="D65">
        <v>28.122105000000001</v>
      </c>
      <c r="E65">
        <v>3.3787539999999998</v>
      </c>
    </row>
    <row r="66" spans="1:5" x14ac:dyDescent="0.25">
      <c r="A66">
        <v>0.65</v>
      </c>
      <c r="B66" s="8">
        <v>0.56100000000000005</v>
      </c>
      <c r="C66">
        <v>15.78572</v>
      </c>
      <c r="D66">
        <v>28.15259</v>
      </c>
      <c r="E66">
        <v>3.3602020000000001</v>
      </c>
    </row>
    <row r="67" spans="1:5" x14ac:dyDescent="0.25">
      <c r="A67">
        <v>0.66</v>
      </c>
      <c r="B67" s="8">
        <v>0.56200000000000006</v>
      </c>
      <c r="C67">
        <v>15.82362</v>
      </c>
      <c r="D67">
        <v>28.176462999999998</v>
      </c>
      <c r="E67">
        <v>3.387931</v>
      </c>
    </row>
    <row r="68" spans="1:5" x14ac:dyDescent="0.25">
      <c r="A68">
        <v>0.67</v>
      </c>
      <c r="B68" s="8">
        <v>0.39200000000000002</v>
      </c>
      <c r="C68">
        <v>11.200279999999999</v>
      </c>
      <c r="D68">
        <v>28.583079999999999</v>
      </c>
      <c r="E68">
        <v>3.7901570000000002</v>
      </c>
    </row>
    <row r="69" spans="1:5" x14ac:dyDescent="0.25">
      <c r="A69">
        <v>0.68</v>
      </c>
      <c r="B69" s="8">
        <v>0.39600000000000002</v>
      </c>
      <c r="C69">
        <v>11.309760000000001</v>
      </c>
      <c r="D69">
        <v>28.526862999999999</v>
      </c>
      <c r="E69">
        <v>3.798117</v>
      </c>
    </row>
    <row r="70" spans="1:5" x14ac:dyDescent="0.25">
      <c r="A70">
        <v>0.69</v>
      </c>
      <c r="B70" s="8">
        <v>0.39400000000000002</v>
      </c>
      <c r="C70">
        <v>11.22819</v>
      </c>
      <c r="D70">
        <v>28.515314</v>
      </c>
      <c r="E70">
        <v>3.8138339999999999</v>
      </c>
    </row>
    <row r="71" spans="1:5" x14ac:dyDescent="0.25">
      <c r="A71">
        <v>0.7</v>
      </c>
      <c r="B71" s="8">
        <v>0.36099999999999999</v>
      </c>
      <c r="C71">
        <v>10.50395</v>
      </c>
      <c r="D71">
        <v>29.074263999999999</v>
      </c>
      <c r="E71">
        <v>3.48332</v>
      </c>
    </row>
    <row r="72" spans="1:5" x14ac:dyDescent="0.25">
      <c r="A72">
        <v>0.71</v>
      </c>
      <c r="B72" s="8">
        <v>0.36199999999999999</v>
      </c>
      <c r="C72">
        <v>10.5349</v>
      </c>
      <c r="D72">
        <v>29.076231</v>
      </c>
      <c r="E72">
        <v>3.4930910000000002</v>
      </c>
    </row>
    <row r="73" spans="1:5" x14ac:dyDescent="0.25">
      <c r="A73">
        <v>0.72</v>
      </c>
      <c r="B73" s="8">
        <v>0.36199999999999999</v>
      </c>
      <c r="C73">
        <v>10.52974</v>
      </c>
      <c r="D73">
        <v>29.080449999999999</v>
      </c>
      <c r="E73">
        <v>3.4937070000000001</v>
      </c>
    </row>
    <row r="74" spans="1:5" x14ac:dyDescent="0.25">
      <c r="A74">
        <v>0.73</v>
      </c>
      <c r="B74" s="8">
        <v>0.36099999999999999</v>
      </c>
      <c r="C74">
        <v>10.499129999999999</v>
      </c>
      <c r="D74">
        <v>29.070578000000001</v>
      </c>
      <c r="E74">
        <v>3.4992719999999999</v>
      </c>
    </row>
    <row r="75" spans="1:5" x14ac:dyDescent="0.25">
      <c r="A75">
        <v>0.74</v>
      </c>
      <c r="B75" s="8">
        <v>0.36399999999999999</v>
      </c>
      <c r="C75">
        <v>10.557930000000001</v>
      </c>
      <c r="D75">
        <v>29.045199</v>
      </c>
      <c r="E75">
        <v>3.4886840000000001</v>
      </c>
    </row>
    <row r="76" spans="1:5" x14ac:dyDescent="0.25">
      <c r="A76">
        <v>0.75</v>
      </c>
      <c r="B76" s="8">
        <v>0.35899999999999999</v>
      </c>
      <c r="C76">
        <v>10.44022</v>
      </c>
      <c r="D76">
        <v>29.040946000000002</v>
      </c>
      <c r="E76">
        <v>3.491527</v>
      </c>
    </row>
    <row r="77" spans="1:5" x14ac:dyDescent="0.25">
      <c r="A77">
        <v>0.76</v>
      </c>
      <c r="B77" s="8">
        <v>0.36199999999999999</v>
      </c>
      <c r="C77">
        <v>10.51751</v>
      </c>
      <c r="D77">
        <v>29.090057000000002</v>
      </c>
      <c r="E77">
        <v>3.4891969999999999</v>
      </c>
    </row>
    <row r="78" spans="1:5" x14ac:dyDescent="0.25">
      <c r="A78">
        <v>0.77</v>
      </c>
      <c r="B78" s="8">
        <v>0.36099999999999999</v>
      </c>
      <c r="C78">
        <v>10.484999999999999</v>
      </c>
      <c r="D78">
        <v>29.069284</v>
      </c>
      <c r="E78">
        <v>3.4897450000000001</v>
      </c>
    </row>
    <row r="79" spans="1:5" x14ac:dyDescent="0.25">
      <c r="A79">
        <v>0.78</v>
      </c>
      <c r="B79" s="8">
        <v>0.35899999999999999</v>
      </c>
      <c r="C79">
        <v>10.458170000000001</v>
      </c>
      <c r="D79">
        <v>29.101400000000002</v>
      </c>
      <c r="E79">
        <v>3.485357</v>
      </c>
    </row>
    <row r="80" spans="1:5" x14ac:dyDescent="0.25">
      <c r="A80">
        <v>0.79</v>
      </c>
      <c r="B80" s="8">
        <v>0.36299999999999999</v>
      </c>
      <c r="C80">
        <v>10.548959999999999</v>
      </c>
      <c r="D80">
        <v>29.071708000000001</v>
      </c>
      <c r="E80">
        <v>3.4930639999999999</v>
      </c>
    </row>
    <row r="81" spans="1:5" x14ac:dyDescent="0.25">
      <c r="A81">
        <v>0.8</v>
      </c>
      <c r="B81" s="8">
        <v>0.36</v>
      </c>
      <c r="C81">
        <v>10.46645</v>
      </c>
      <c r="D81">
        <v>29.085591000000001</v>
      </c>
      <c r="E81">
        <v>3.5090089999999998</v>
      </c>
    </row>
    <row r="82" spans="1:5" x14ac:dyDescent="0.25">
      <c r="A82">
        <v>0.81</v>
      </c>
      <c r="B82" s="8">
        <v>0.36</v>
      </c>
      <c r="C82">
        <v>10.45546</v>
      </c>
      <c r="D82">
        <v>29.072016000000001</v>
      </c>
      <c r="E82">
        <v>3.4824799999999998</v>
      </c>
    </row>
    <row r="83" spans="1:5" x14ac:dyDescent="0.25">
      <c r="A83">
        <v>0.82</v>
      </c>
      <c r="B83" s="8">
        <v>0.36</v>
      </c>
      <c r="C83">
        <v>10.45406</v>
      </c>
      <c r="D83">
        <v>29.077017000000001</v>
      </c>
      <c r="E83">
        <v>3.4908709999999998</v>
      </c>
    </row>
    <row r="84" spans="1:5" x14ac:dyDescent="0.25">
      <c r="A84">
        <v>0.83</v>
      </c>
      <c r="B84" s="8">
        <v>0.35799999999999998</v>
      </c>
      <c r="C84">
        <v>10.3889</v>
      </c>
      <c r="D84">
        <v>29.059047</v>
      </c>
      <c r="E84">
        <v>3.4872879999999999</v>
      </c>
    </row>
    <row r="85" spans="1:5" x14ac:dyDescent="0.25">
      <c r="A85">
        <v>0.84</v>
      </c>
      <c r="B85" s="8">
        <v>0.23499999999999999</v>
      </c>
      <c r="C85">
        <v>7.16967</v>
      </c>
      <c r="D85">
        <v>30.54693</v>
      </c>
      <c r="E85">
        <v>3.3209840000000002</v>
      </c>
    </row>
    <row r="86" spans="1:5" x14ac:dyDescent="0.25">
      <c r="A86">
        <v>0.85</v>
      </c>
      <c r="B86" s="8">
        <v>0.23799999999999999</v>
      </c>
      <c r="C86">
        <v>7.2684600000000001</v>
      </c>
      <c r="D86">
        <v>30.578292000000001</v>
      </c>
      <c r="E86">
        <v>3.292697</v>
      </c>
    </row>
    <row r="87" spans="1:5" x14ac:dyDescent="0.25">
      <c r="A87">
        <v>0.86</v>
      </c>
      <c r="B87" s="8">
        <v>0.23699999999999999</v>
      </c>
      <c r="C87">
        <v>7.2361899999999997</v>
      </c>
      <c r="D87">
        <v>30.571145000000001</v>
      </c>
      <c r="E87">
        <v>3.3060459999999998</v>
      </c>
    </row>
    <row r="88" spans="1:5" x14ac:dyDescent="0.25">
      <c r="A88">
        <v>0.87</v>
      </c>
      <c r="B88" s="8">
        <v>0.23799999999999999</v>
      </c>
      <c r="C88">
        <v>7.2752600000000003</v>
      </c>
      <c r="D88">
        <v>30.570888</v>
      </c>
      <c r="E88">
        <v>3.2813029999999999</v>
      </c>
    </row>
    <row r="89" spans="1:5" x14ac:dyDescent="0.25">
      <c r="A89">
        <v>0.88</v>
      </c>
      <c r="B89" s="8">
        <v>0.23499999999999999</v>
      </c>
      <c r="C89">
        <v>7.2020400000000002</v>
      </c>
      <c r="D89">
        <v>30.636548999999999</v>
      </c>
      <c r="E89">
        <v>3.2923249999999999</v>
      </c>
    </row>
    <row r="90" spans="1:5" x14ac:dyDescent="0.25">
      <c r="A90">
        <v>0.89</v>
      </c>
      <c r="B90" s="8">
        <v>0.23599999999999999</v>
      </c>
      <c r="C90">
        <v>7.2053700000000003</v>
      </c>
      <c r="D90">
        <v>30.588258</v>
      </c>
      <c r="E90">
        <v>3.2726060000000001</v>
      </c>
    </row>
    <row r="91" spans="1:5" x14ac:dyDescent="0.25">
      <c r="A91">
        <v>0.9</v>
      </c>
      <c r="B91" s="8">
        <v>0.23699999999999999</v>
      </c>
      <c r="C91">
        <v>7.2459899999999999</v>
      </c>
      <c r="D91">
        <v>30.589286000000001</v>
      </c>
      <c r="E91">
        <v>3.322889</v>
      </c>
    </row>
    <row r="92" spans="1:5" x14ac:dyDescent="0.25">
      <c r="A92">
        <v>0.91</v>
      </c>
      <c r="B92" s="8">
        <v>0.23400000000000001</v>
      </c>
      <c r="C92">
        <v>7.1567499999999997</v>
      </c>
      <c r="D92">
        <v>30.622351999999999</v>
      </c>
      <c r="E92">
        <v>3.3032059999999999</v>
      </c>
    </row>
    <row r="93" spans="1:5" x14ac:dyDescent="0.25">
      <c r="A93">
        <v>0.92</v>
      </c>
      <c r="B93" s="8">
        <v>0.23499999999999999</v>
      </c>
      <c r="C93">
        <v>7.1936200000000001</v>
      </c>
      <c r="D93">
        <v>30.548750999999999</v>
      </c>
      <c r="E93">
        <v>3.3224269999999998</v>
      </c>
    </row>
    <row r="94" spans="1:5" x14ac:dyDescent="0.25">
      <c r="A94">
        <v>0.93</v>
      </c>
      <c r="B94" s="8">
        <v>0.23200000000000001</v>
      </c>
      <c r="C94">
        <v>7.10379</v>
      </c>
      <c r="D94">
        <v>30.569713</v>
      </c>
      <c r="E94">
        <v>3.32531</v>
      </c>
    </row>
    <row r="95" spans="1:5" x14ac:dyDescent="0.25">
      <c r="A95">
        <v>0.94</v>
      </c>
      <c r="B95" s="8">
        <v>0.23400000000000001</v>
      </c>
      <c r="C95">
        <v>7.1646799999999997</v>
      </c>
      <c r="D95">
        <v>30.559522000000001</v>
      </c>
      <c r="E95">
        <v>3.3383600000000002</v>
      </c>
    </row>
    <row r="96" spans="1:5" x14ac:dyDescent="0.25">
      <c r="A96">
        <v>0.95</v>
      </c>
      <c r="B96" s="8">
        <v>0.23300000000000001</v>
      </c>
      <c r="C96">
        <v>7.1100399999999997</v>
      </c>
      <c r="D96">
        <v>30.551908000000001</v>
      </c>
      <c r="E96">
        <v>3.3606250000000002</v>
      </c>
    </row>
    <row r="97" spans="1:5" x14ac:dyDescent="0.25">
      <c r="A97">
        <v>0.96</v>
      </c>
      <c r="B97" s="8">
        <v>0.22900000000000001</v>
      </c>
      <c r="C97">
        <v>7.0165300000000004</v>
      </c>
      <c r="D97">
        <v>30.662631999999999</v>
      </c>
      <c r="E97">
        <v>3.350463</v>
      </c>
    </row>
    <row r="98" spans="1:5" x14ac:dyDescent="0.25">
      <c r="A98">
        <v>0.97</v>
      </c>
      <c r="B98" s="8">
        <v>0.22800000000000001</v>
      </c>
      <c r="C98">
        <v>6.9814400000000001</v>
      </c>
      <c r="D98">
        <v>30.617664999999999</v>
      </c>
      <c r="E98">
        <v>3.3319730000000001</v>
      </c>
    </row>
    <row r="99" spans="1:5" x14ac:dyDescent="0.25">
      <c r="A99">
        <v>0.98</v>
      </c>
      <c r="B99" s="8">
        <v>0.23</v>
      </c>
      <c r="C99">
        <v>7.0400999999999998</v>
      </c>
      <c r="D99">
        <v>30.598486999999999</v>
      </c>
      <c r="E99">
        <v>3.3815439999999999</v>
      </c>
    </row>
    <row r="100" spans="1:5" x14ac:dyDescent="0.25">
      <c r="A100">
        <v>0.99</v>
      </c>
      <c r="B100" s="8">
        <v>0.221</v>
      </c>
      <c r="C100">
        <v>6.7599099999999996</v>
      </c>
      <c r="D100">
        <v>30.615534</v>
      </c>
      <c r="E100">
        <v>3.4232879999999999</v>
      </c>
    </row>
    <row r="101" spans="1:5" x14ac:dyDescent="0.25">
      <c r="A101">
        <v>1</v>
      </c>
      <c r="B101" s="8">
        <v>0.216</v>
      </c>
      <c r="C101">
        <v>6.4766500000000002</v>
      </c>
      <c r="D101">
        <v>30.040120999999999</v>
      </c>
      <c r="E101">
        <v>3.8272309999999998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4</vt:i4>
      </vt:variant>
      <vt:variant>
        <vt:lpstr>Benoemde bereiken</vt:lpstr>
      </vt:variant>
      <vt:variant>
        <vt:i4>1</vt:i4>
      </vt:variant>
    </vt:vector>
  </HeadingPairs>
  <TitlesOfParts>
    <vt:vector size="5" baseType="lpstr">
      <vt:lpstr>win-rate</vt:lpstr>
      <vt:lpstr>interesting-roll</vt:lpstr>
      <vt:lpstr>risk-vs-score</vt:lpstr>
      <vt:lpstr>Blad6</vt:lpstr>
      <vt:lpstr>'risk-vs-score'!tmp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Poirot, M.G. (Maarten)</dc:creator>
  <cp:lastModifiedBy>Poirot, M.G. (Maarten)</cp:lastModifiedBy>
  <cp:lastPrinted>2024-02-28T14:42:49Z</cp:lastPrinted>
  <dcterms:created xsi:type="dcterms:W3CDTF">2024-02-28T14:42:59Z</dcterms:created>
  <dcterms:modified xsi:type="dcterms:W3CDTF">2024-03-01T16:39:25Z</dcterms:modified>
</cp:coreProperties>
</file>